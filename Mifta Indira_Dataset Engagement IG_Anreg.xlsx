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401a2b297a0c5b5/Documents/INDIRA/IPB University/Semester 4/Analisis Regresi/"/>
    </mc:Choice>
  </mc:AlternateContent>
  <xr:revisionPtr revIDLastSave="77" documentId="14_{9CB9FB0D-D0A4-4DCA-A477-EA1EC9C00510}" xr6:coauthVersionLast="47" xr6:coauthVersionMax="47" xr10:uidLastSave="{666C9EAC-8EF6-4660-860C-751574102964}"/>
  <bookViews>
    <workbookView xWindow="9510" yWindow="0" windowWidth="9780" windowHeight="11370" activeTab="1" xr2:uid="{00000000-000D-0000-FFFF-FFFF00000000}"/>
  </bookViews>
  <sheets>
    <sheet name="Recovered_Sheet1" sheetId="1" r:id="rId1"/>
    <sheet name="Sheet2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</calcChain>
</file>

<file path=xl/sharedStrings.xml><?xml version="1.0" encoding="utf-8"?>
<sst xmlns="http://schemas.openxmlformats.org/spreadsheetml/2006/main" count="810" uniqueCount="343">
  <si>
    <t>1st</t>
  </si>
  <si>
    <t>A+</t>
  </si>
  <si>
    <t>Instagram</t>
  </si>
  <si>
    <t>698.95M</t>
  </si>
  <si>
    <t>8.32K</t>
  </si>
  <si>
    <t>2nd</t>
  </si>
  <si>
    <t>Cristiano Ronaldo</t>
  </si>
  <si>
    <t>670.98M</t>
  </si>
  <si>
    <t>4.01K</t>
  </si>
  <si>
    <t>3rd</t>
  </si>
  <si>
    <t>B+</t>
  </si>
  <si>
    <t>Leo Messi</t>
  </si>
  <si>
    <t>511.35M</t>
  </si>
  <si>
    <t>1.46K</t>
  </si>
  <si>
    <t>4th</t>
  </si>
  <si>
    <t>Selena Gomez</t>
  </si>
  <si>
    <t>415.51M</t>
  </si>
  <si>
    <t>2.15K</t>
  </si>
  <si>
    <t>5th</t>
  </si>
  <si>
    <t>Kylie</t>
  </si>
  <si>
    <t>391.57M</t>
  </si>
  <si>
    <t>7.36K</t>
  </si>
  <si>
    <t>6th</t>
  </si>
  <si>
    <t>Dwayne Johnson</t>
  </si>
  <si>
    <t>390.93M</t>
  </si>
  <si>
    <t>8.29K</t>
  </si>
  <si>
    <t>7th</t>
  </si>
  <si>
    <t>Ariana Grande</t>
  </si>
  <si>
    <t>372.38M</t>
  </si>
  <si>
    <t>1.02K</t>
  </si>
  <si>
    <t>8th</t>
  </si>
  <si>
    <t>Kim Kardashian</t>
  </si>
  <si>
    <t>353.66M</t>
  </si>
  <si>
    <t>6.59K</t>
  </si>
  <si>
    <t>9th</t>
  </si>
  <si>
    <t>Beyoncé</t>
  </si>
  <si>
    <t>308.04M</t>
  </si>
  <si>
    <t>2.43K</t>
  </si>
  <si>
    <t>10th</t>
  </si>
  <si>
    <t>Khloé Kardashian</t>
  </si>
  <si>
    <t>299.72M</t>
  </si>
  <si>
    <t>4.78K</t>
  </si>
  <si>
    <t>11th</t>
  </si>
  <si>
    <t>Nike</t>
  </si>
  <si>
    <t>298.29M</t>
  </si>
  <si>
    <t>1.67K</t>
  </si>
  <si>
    <t>12th</t>
  </si>
  <si>
    <t>Justin Bieber</t>
  </si>
  <si>
    <t>292.27M</t>
  </si>
  <si>
    <t>8.87K</t>
  </si>
  <si>
    <t>13th</t>
  </si>
  <si>
    <t>Kendall</t>
  </si>
  <si>
    <t>284.76M</t>
  </si>
  <si>
    <t>14th</t>
  </si>
  <si>
    <t>Taylor Swift</t>
  </si>
  <si>
    <t>280.92M</t>
  </si>
  <si>
    <t>15th</t>
  </si>
  <si>
    <t>National Geographic</t>
  </si>
  <si>
    <t>275.58M</t>
  </si>
  <si>
    <t>31.35K</t>
  </si>
  <si>
    <t>16th</t>
  </si>
  <si>
    <t>A</t>
  </si>
  <si>
    <t>Virat Kohli</t>
  </si>
  <si>
    <t>274.9M</t>
  </si>
  <si>
    <t>1.04K</t>
  </si>
  <si>
    <t>17th</t>
  </si>
  <si>
    <t>Jennifer Lopez</t>
  </si>
  <si>
    <t>246.39M</t>
  </si>
  <si>
    <t>1.88K</t>
  </si>
  <si>
    <t>1.12K</t>
  </si>
  <si>
    <t>18th</t>
  </si>
  <si>
    <t>Neymar Jr</t>
  </si>
  <si>
    <t>233.32M</t>
  </si>
  <si>
    <t>1.97K</t>
  </si>
  <si>
    <t>6.03K</t>
  </si>
  <si>
    <t>19th</t>
  </si>
  <si>
    <t>Kourtney Kardashian Barker</t>
  </si>
  <si>
    <t>215.79M</t>
  </si>
  <si>
    <t>4.67K</t>
  </si>
  <si>
    <t>20th</t>
  </si>
  <si>
    <t>Miley Cyrus</t>
  </si>
  <si>
    <t>210.82M</t>
  </si>
  <si>
    <t>1.5K</t>
  </si>
  <si>
    <t>21st</t>
  </si>
  <si>
    <t>KATY PERRY</t>
  </si>
  <si>
    <t>201.48M</t>
  </si>
  <si>
    <t>2.69K</t>
  </si>
  <si>
    <t>22nd</t>
  </si>
  <si>
    <t>Real Madrid C.F.</t>
  </si>
  <si>
    <t>181.05M</t>
  </si>
  <si>
    <t>19.19K</t>
  </si>
  <si>
    <t>23rd</t>
  </si>
  <si>
    <t>A-</t>
  </si>
  <si>
    <t>Kevin Hart</t>
  </si>
  <si>
    <t>176.13M</t>
  </si>
  <si>
    <t>1.25K</t>
  </si>
  <si>
    <t>9.78K</t>
  </si>
  <si>
    <t>24th</t>
  </si>
  <si>
    <t>Zendaya</t>
  </si>
  <si>
    <t>175.85M</t>
  </si>
  <si>
    <t>3.5K</t>
  </si>
  <si>
    <t>25th</t>
  </si>
  <si>
    <t>Cardi B</t>
  </si>
  <si>
    <t>164.2M</t>
  </si>
  <si>
    <t>3.49K</t>
  </si>
  <si>
    <t>1.9K</t>
  </si>
  <si>
    <t>26th</t>
  </si>
  <si>
    <t>👑</t>
  </si>
  <si>
    <t>157.55M</t>
  </si>
  <si>
    <t>2.85K</t>
  </si>
  <si>
    <t>27th</t>
  </si>
  <si>
    <t>Demi Lovato</t>
  </si>
  <si>
    <t>152.44M</t>
  </si>
  <si>
    <t>28th</t>
  </si>
  <si>
    <t>badgalriri</t>
  </si>
  <si>
    <t>149.28M</t>
  </si>
  <si>
    <t>1.69K</t>
  </si>
  <si>
    <t>5.02K</t>
  </si>
  <si>
    <t>29th</t>
  </si>
  <si>
    <t>A++</t>
  </si>
  <si>
    <t>FC Barcelona</t>
  </si>
  <si>
    <t>146.73M</t>
  </si>
  <si>
    <t>26.39K</t>
  </si>
  <si>
    <t>30th</t>
  </si>
  <si>
    <t>BROWN</t>
  </si>
  <si>
    <t>143.83M</t>
  </si>
  <si>
    <t>7.91K</t>
  </si>
  <si>
    <t>31st</t>
  </si>
  <si>
    <t>champagnepapi</t>
  </si>
  <si>
    <t>141.9M</t>
  </si>
  <si>
    <t>3.55K</t>
  </si>
  <si>
    <t>32nd</t>
  </si>
  <si>
    <t>Ellen DeGeneres</t>
  </si>
  <si>
    <t>134.35M</t>
  </si>
  <si>
    <t>12.14K</t>
  </si>
  <si>
    <t>33rd</t>
  </si>
  <si>
    <t>Kylian Mbappé</t>
  </si>
  <si>
    <t>130.03M</t>
  </si>
  <si>
    <t>1.44K</t>
  </si>
  <si>
    <t>34th</t>
  </si>
  <si>
    <t>BILLIE EILISH</t>
  </si>
  <si>
    <t>125.13M</t>
  </si>
  <si>
    <t>1.03K</t>
  </si>
  <si>
    <t>35th</t>
  </si>
  <si>
    <t>UEFA Champions League</t>
  </si>
  <si>
    <t>121.11M</t>
  </si>
  <si>
    <t>29.22K</t>
  </si>
  <si>
    <t>36th</t>
  </si>
  <si>
    <t>Gal Gadot</t>
  </si>
  <si>
    <t>106.41M</t>
  </si>
  <si>
    <t>1.33K</t>
  </si>
  <si>
    <t>1.91K</t>
  </si>
  <si>
    <t>37th</t>
  </si>
  <si>
    <t>Vin Diesel</t>
  </si>
  <si>
    <t>105.21M</t>
  </si>
  <si>
    <t>2.2K</t>
  </si>
  <si>
    <t>38th</t>
  </si>
  <si>
    <t>Narendra Modi</t>
  </si>
  <si>
    <t>99.64M</t>
  </si>
  <si>
    <t>1.16K</t>
  </si>
  <si>
    <t>39th</t>
  </si>
  <si>
    <t>NASA</t>
  </si>
  <si>
    <t>98.54M</t>
  </si>
  <si>
    <t>4.6K</t>
  </si>
  <si>
    <t>40th</t>
  </si>
  <si>
    <t>Shakira</t>
  </si>
  <si>
    <t>95.71M</t>
  </si>
  <si>
    <t>2.59K</t>
  </si>
  <si>
    <t>41st</t>
  </si>
  <si>
    <t>Shraddha ✶</t>
  </si>
  <si>
    <t>94.96M</t>
  </si>
  <si>
    <t>42nd</t>
  </si>
  <si>
    <t>Priyanka</t>
  </si>
  <si>
    <t>94.14M</t>
  </si>
  <si>
    <t>43rd</t>
  </si>
  <si>
    <t>NBA</t>
  </si>
  <si>
    <t>90.2M</t>
  </si>
  <si>
    <t>1.28K</t>
  </si>
  <si>
    <t>97.62K</t>
  </si>
  <si>
    <t>44th</t>
  </si>
  <si>
    <t>J</t>
  </si>
  <si>
    <t>89.38M</t>
  </si>
  <si>
    <t>1.35K</t>
  </si>
  <si>
    <t>45th</t>
  </si>
  <si>
    <t>DUA LIPA</t>
  </si>
  <si>
    <t>88.77M</t>
  </si>
  <si>
    <t>46th</t>
  </si>
  <si>
    <t>David Beckham</t>
  </si>
  <si>
    <t>88.6M</t>
  </si>
  <si>
    <t>2.16K</t>
  </si>
  <si>
    <t>47th</t>
  </si>
  <si>
    <t>snoopdogg</t>
  </si>
  <si>
    <t>88.47M</t>
  </si>
  <si>
    <t>7.48K</t>
  </si>
  <si>
    <t>68.6K</t>
  </si>
  <si>
    <t>48th</t>
  </si>
  <si>
    <t>Alia Bhatt 💛</t>
  </si>
  <si>
    <t>86.92M</t>
  </si>
  <si>
    <t>49th</t>
  </si>
  <si>
    <t>MrBeast</t>
  </si>
  <si>
    <t>84.56M</t>
  </si>
  <si>
    <t>50th</t>
  </si>
  <si>
    <t>ROSÉ</t>
  </si>
  <si>
    <t>84.37M</t>
  </si>
  <si>
    <t>1.18K</t>
  </si>
  <si>
    <t>Grade</t>
  </si>
  <si>
    <t>Folls terbanyak</t>
  </si>
  <si>
    <t>Followers</t>
  </si>
  <si>
    <t>Following</t>
  </si>
  <si>
    <t>Media Count</t>
  </si>
  <si>
    <t>Engagement Rate</t>
  </si>
  <si>
    <t>Average Likes</t>
  </si>
  <si>
    <t>Average Comments</t>
  </si>
  <si>
    <t>14K</t>
  </si>
  <si>
    <t>172K</t>
  </si>
  <si>
    <t>526K</t>
  </si>
  <si>
    <t>4.7M</t>
  </si>
  <si>
    <t>44K</t>
  </si>
  <si>
    <t>11K</t>
  </si>
  <si>
    <t>30K</t>
  </si>
  <si>
    <t>210K</t>
  </si>
  <si>
    <t>3.3M</t>
  </si>
  <si>
    <t>2M</t>
  </si>
  <si>
    <t>4M</t>
  </si>
  <si>
    <t>4K</t>
  </si>
  <si>
    <t>10K</t>
  </si>
  <si>
    <t>12K</t>
  </si>
  <si>
    <t>17K</t>
  </si>
  <si>
    <t>20K</t>
  </si>
  <si>
    <t>2.6M</t>
  </si>
  <si>
    <t>1.3M</t>
  </si>
  <si>
    <t>7.2K</t>
  </si>
  <si>
    <t>248K</t>
  </si>
  <si>
    <t>3M</t>
  </si>
  <si>
    <t>24K</t>
  </si>
  <si>
    <t>868K</t>
  </si>
  <si>
    <t>13K</t>
  </si>
  <si>
    <t>2.8K</t>
  </si>
  <si>
    <t>1.6M</t>
  </si>
  <si>
    <t>67K</t>
  </si>
  <si>
    <t>2K</t>
  </si>
  <si>
    <t>3.8K</t>
  </si>
  <si>
    <t>700K</t>
  </si>
  <si>
    <t>4.8K</t>
  </si>
  <si>
    <t>IG</t>
  </si>
  <si>
    <t>Display Name</t>
  </si>
  <si>
    <t>jennierubyjane</t>
  </si>
  <si>
    <t>roses_are_rosie</t>
  </si>
  <si>
    <t>mrbeast</t>
  </si>
  <si>
    <t>aliaabhatt</t>
  </si>
  <si>
    <t>davidbeckham</t>
  </si>
  <si>
    <t>dualipa</t>
  </si>
  <si>
    <t>nba</t>
  </si>
  <si>
    <t>41K</t>
  </si>
  <si>
    <t>2.5K</t>
  </si>
  <si>
    <t>538K</t>
  </si>
  <si>
    <t>priyankachopra</t>
  </si>
  <si>
    <t>shraddhakapoor</t>
  </si>
  <si>
    <t>2.4M</t>
  </si>
  <si>
    <t>shakira</t>
  </si>
  <si>
    <t>nasa</t>
  </si>
  <si>
    <t>314K</t>
  </si>
  <si>
    <t>1.4K</t>
  </si>
  <si>
    <t>869K</t>
  </si>
  <si>
    <t>narendramodi</t>
  </si>
  <si>
    <t>vindiesel</t>
  </si>
  <si>
    <t>802K</t>
  </si>
  <si>
    <t>4.4K</t>
  </si>
  <si>
    <t>316K</t>
  </si>
  <si>
    <t>gal_gadot</t>
  </si>
  <si>
    <t>championsleague</t>
  </si>
  <si>
    <t>195K</t>
  </si>
  <si>
    <t>billieeilish</t>
  </si>
  <si>
    <t>k.mbappe</t>
  </si>
  <si>
    <t>36K</t>
  </si>
  <si>
    <t>3.6K</t>
  </si>
  <si>
    <t>77k</t>
  </si>
  <si>
    <t>ellendegeneres</t>
  </si>
  <si>
    <t>1.1M</t>
  </si>
  <si>
    <t>9.2K</t>
  </si>
  <si>
    <t>498K</t>
  </si>
  <si>
    <t>chrisbrownofficial</t>
  </si>
  <si>
    <t>fcbarcelona</t>
  </si>
  <si>
    <t>1.6K</t>
  </si>
  <si>
    <t>29K</t>
  </si>
  <si>
    <t>ddlovato</t>
  </si>
  <si>
    <t>2.9K</t>
  </si>
  <si>
    <t>298K</t>
  </si>
  <si>
    <t>4.2K</t>
  </si>
  <si>
    <t>379K</t>
  </si>
  <si>
    <t>kingjames</t>
  </si>
  <si>
    <t>iamcardib</t>
  </si>
  <si>
    <t>1.8M</t>
  </si>
  <si>
    <t>25K</t>
  </si>
  <si>
    <t>3.8M</t>
  </si>
  <si>
    <t>zendaya</t>
  </si>
  <si>
    <t>kevinhart4real</t>
  </si>
  <si>
    <t>142K</t>
  </si>
  <si>
    <t>1K</t>
  </si>
  <si>
    <t>306K</t>
  </si>
  <si>
    <t>realmadrid</t>
  </si>
  <si>
    <t>katyperry</t>
  </si>
  <si>
    <t>2.6K</t>
  </si>
  <si>
    <t>6.9K</t>
  </si>
  <si>
    <t>633K</t>
  </si>
  <si>
    <t>mileycyrus</t>
  </si>
  <si>
    <t>kourtneykardash</t>
  </si>
  <si>
    <t>1.2M</t>
  </si>
  <si>
    <t>neymarjr</t>
  </si>
  <si>
    <t>jlo</t>
  </si>
  <si>
    <t>257K</t>
  </si>
  <si>
    <t>4.3K</t>
  </si>
  <si>
    <t>virat.kohli</t>
  </si>
  <si>
    <t>130K</t>
  </si>
  <si>
    <t>7.2M</t>
  </si>
  <si>
    <t>72K</t>
  </si>
  <si>
    <t>natgeo</t>
  </si>
  <si>
    <t>taylorswift</t>
  </si>
  <si>
    <t>6.4M</t>
  </si>
  <si>
    <t>6.2K</t>
  </si>
  <si>
    <t>kendalljenner</t>
  </si>
  <si>
    <t>lilbieber</t>
  </si>
  <si>
    <t>641K</t>
  </si>
  <si>
    <t>5.4K</t>
  </si>
  <si>
    <t>2.7K</t>
  </si>
  <si>
    <t>282K</t>
  </si>
  <si>
    <t>nike</t>
  </si>
  <si>
    <t>khloekardashian</t>
  </si>
  <si>
    <t>43K</t>
  </si>
  <si>
    <t>23K</t>
  </si>
  <si>
    <t>1.4M</t>
  </si>
  <si>
    <t>beyonce</t>
  </si>
  <si>
    <t>kimkardashian</t>
  </si>
  <si>
    <t>1.7M</t>
  </si>
  <si>
    <t>8.3K</t>
  </si>
  <si>
    <t>1.9M</t>
  </si>
  <si>
    <t>arianagrande</t>
  </si>
  <si>
    <t>therock</t>
  </si>
  <si>
    <t>kyliejenner</t>
  </si>
  <si>
    <t>selenagomez</t>
  </si>
  <si>
    <t>leomessi</t>
  </si>
  <si>
    <t>cristiano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</si>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</sst>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43" workbookViewId="0">
      <selection activeCell="A2" sqref="A2:D51"/>
    </sheetView>
  </sheetViews>
  <sheetFormatPr defaultRowHeight="15.5" x14ac:dyDescent="0.35"/>
  <cols>
    <col min="1" max="1" width="13.33203125" style="1" bestFit="1" customWidth="1"/>
    <col min="2" max="2" width="5.75" style="1" bestFit="1" customWidth="1"/>
    <col min="3" max="3" width="15.58203125" style="1" bestFit="1" customWidth="1"/>
    <col min="4" max="4" width="23.83203125" style="1" bestFit="1" customWidth="1"/>
    <col min="5" max="5" width="8.6640625" style="1" bestFit="1" customWidth="1"/>
    <col min="6" max="6" width="8.75" style="1" bestFit="1" customWidth="1"/>
    <col min="7" max="7" width="11.5" style="1" bestFit="1" customWidth="1"/>
    <col min="8" max="8" width="15.25" style="1" bestFit="1" customWidth="1"/>
    <col min="9" max="9" width="11.83203125" style="1" bestFit="1" customWidth="1"/>
    <col min="10" max="10" width="16.75" style="1" bestFit="1" customWidth="1"/>
    <col min="11" max="16384" width="8.6640625" style="1"/>
  </cols>
  <sheetData>
    <row r="1" spans="1:10" x14ac:dyDescent="0.35">
      <c r="A1" s="3" t="s">
        <v>206</v>
      </c>
      <c r="B1" s="3" t="s">
        <v>205</v>
      </c>
      <c r="C1" s="3" t="s">
        <v>244</v>
      </c>
      <c r="D1" s="3" t="s">
        <v>245</v>
      </c>
      <c r="E1" s="3" t="s">
        <v>207</v>
      </c>
      <c r="F1" s="3" t="s">
        <v>208</v>
      </c>
      <c r="G1" s="3" t="s">
        <v>209</v>
      </c>
      <c r="H1" s="3" t="s">
        <v>210</v>
      </c>
      <c r="I1" s="3" t="s">
        <v>211</v>
      </c>
      <c r="J1" s="3" t="s">
        <v>212</v>
      </c>
    </row>
    <row r="2" spans="1:10" x14ac:dyDescent="0.35">
      <c r="A2" s="1" t="s">
        <v>0</v>
      </c>
      <c r="B2" s="1" t="s">
        <v>1</v>
      </c>
      <c r="C2" s="1" t="s">
        <v>342</v>
      </c>
      <c r="D2" s="1" t="s">
        <v>2</v>
      </c>
      <c r="E2" s="1" t="s">
        <v>3</v>
      </c>
      <c r="F2" s="4">
        <v>187</v>
      </c>
      <c r="G2" s="1" t="s">
        <v>4</v>
      </c>
      <c r="H2" s="2">
        <v>2.9999999999999997E-4</v>
      </c>
      <c r="I2" s="1" t="s">
        <v>214</v>
      </c>
      <c r="J2" s="1" t="s">
        <v>213</v>
      </c>
    </row>
    <row r="3" spans="1:10" x14ac:dyDescent="0.35">
      <c r="A3" s="1" t="s">
        <v>5</v>
      </c>
      <c r="B3" s="1" t="s">
        <v>1</v>
      </c>
      <c r="C3" s="1" t="s">
        <v>341</v>
      </c>
      <c r="D3" s="1" t="s">
        <v>6</v>
      </c>
      <c r="E3" s="1" t="s">
        <v>7</v>
      </c>
      <c r="F3" s="4">
        <v>625</v>
      </c>
      <c r="G3" s="1" t="s">
        <v>8</v>
      </c>
      <c r="H3" s="2">
        <v>6.8999999999999999E-3</v>
      </c>
      <c r="I3" s="1" t="s">
        <v>216</v>
      </c>
      <c r="J3" s="1" t="s">
        <v>217</v>
      </c>
    </row>
    <row r="4" spans="1:10" x14ac:dyDescent="0.35">
      <c r="A4" s="1" t="s">
        <v>9</v>
      </c>
      <c r="B4" s="1" t="s">
        <v>10</v>
      </c>
      <c r="C4" s="1" t="s">
        <v>340</v>
      </c>
      <c r="D4" s="1" t="s">
        <v>11</v>
      </c>
      <c r="E4" s="1" t="s">
        <v>12</v>
      </c>
      <c r="F4" s="4">
        <v>357</v>
      </c>
      <c r="G4" s="1" t="s">
        <v>13</v>
      </c>
      <c r="H4" s="2">
        <v>6.4000000000000003E-3</v>
      </c>
      <c r="I4" s="1" t="s">
        <v>221</v>
      </c>
      <c r="J4" s="1" t="s">
        <v>219</v>
      </c>
    </row>
    <row r="5" spans="1:10" x14ac:dyDescent="0.35">
      <c r="A5" s="1" t="s">
        <v>14</v>
      </c>
      <c r="B5" s="1" t="s">
        <v>10</v>
      </c>
      <c r="C5" s="1" t="s">
        <v>339</v>
      </c>
      <c r="D5" s="1" t="s">
        <v>15</v>
      </c>
      <c r="E5" s="1" t="s">
        <v>16</v>
      </c>
      <c r="F5" s="4">
        <v>360</v>
      </c>
      <c r="G5" s="1" t="s">
        <v>17</v>
      </c>
      <c r="H5" s="2">
        <v>4.7000000000000002E-3</v>
      </c>
      <c r="I5" s="1" t="s">
        <v>222</v>
      </c>
      <c r="J5" s="1" t="s">
        <v>224</v>
      </c>
    </row>
    <row r="6" spans="1:10" x14ac:dyDescent="0.35">
      <c r="A6" s="1" t="s">
        <v>18</v>
      </c>
      <c r="B6" s="1" t="s">
        <v>10</v>
      </c>
      <c r="C6" s="1" t="s">
        <v>338</v>
      </c>
      <c r="D6" s="1" t="s">
        <v>19</v>
      </c>
      <c r="E6" s="1" t="s">
        <v>20</v>
      </c>
      <c r="F6" s="4">
        <v>132</v>
      </c>
      <c r="G6" s="1" t="s">
        <v>21</v>
      </c>
      <c r="H6" s="2">
        <v>6.7000000000000002E-3</v>
      </c>
      <c r="I6" s="1" t="s">
        <v>229</v>
      </c>
      <c r="J6" s="1" t="s">
        <v>231</v>
      </c>
    </row>
    <row r="7" spans="1:10" x14ac:dyDescent="0.35">
      <c r="A7" s="1" t="s">
        <v>22</v>
      </c>
      <c r="B7" s="1" t="s">
        <v>10</v>
      </c>
      <c r="C7" s="1" t="s">
        <v>337</v>
      </c>
      <c r="D7" s="1" t="s">
        <v>23</v>
      </c>
      <c r="E7" s="1" t="s">
        <v>24</v>
      </c>
      <c r="F7" s="4">
        <v>289</v>
      </c>
      <c r="G7" s="1" t="s">
        <v>25</v>
      </c>
      <c r="H7" s="2">
        <v>8.0000000000000004E-4</v>
      </c>
      <c r="I7" s="1" t="s">
        <v>232</v>
      </c>
      <c r="J7" s="1" t="s">
        <v>155</v>
      </c>
    </row>
    <row r="8" spans="1:10" x14ac:dyDescent="0.35">
      <c r="A8" s="1" t="s">
        <v>26</v>
      </c>
      <c r="B8" s="1" t="s">
        <v>10</v>
      </c>
      <c r="C8" s="1" t="s">
        <v>336</v>
      </c>
      <c r="D8" s="1" t="s">
        <v>27</v>
      </c>
      <c r="E8" s="1" t="s">
        <v>28</v>
      </c>
      <c r="F8" s="4" t="s">
        <v>29</v>
      </c>
      <c r="G8" s="4">
        <v>478</v>
      </c>
      <c r="H8" s="2">
        <v>5.1999999999999998E-3</v>
      </c>
      <c r="I8" s="1" t="s">
        <v>335</v>
      </c>
      <c r="J8" s="1">
        <v>40</v>
      </c>
    </row>
    <row r="9" spans="1:10" x14ac:dyDescent="0.35">
      <c r="A9" s="1" t="s">
        <v>30</v>
      </c>
      <c r="B9" s="1" t="s">
        <v>10</v>
      </c>
      <c r="C9" s="1" t="s">
        <v>332</v>
      </c>
      <c r="D9" s="1" t="s">
        <v>31</v>
      </c>
      <c r="E9" s="1" t="s">
        <v>32</v>
      </c>
      <c r="F9" s="4">
        <v>355</v>
      </c>
      <c r="G9" s="1" t="s">
        <v>33</v>
      </c>
      <c r="H9" s="2">
        <v>4.8999999999999998E-3</v>
      </c>
      <c r="I9" s="1" t="s">
        <v>333</v>
      </c>
      <c r="J9" s="1" t="s">
        <v>334</v>
      </c>
    </row>
    <row r="10" spans="1:10" x14ac:dyDescent="0.35">
      <c r="A10" s="1" t="s">
        <v>34</v>
      </c>
      <c r="B10" s="1" t="s">
        <v>10</v>
      </c>
      <c r="C10" s="1" t="s">
        <v>331</v>
      </c>
      <c r="D10" s="1" t="s">
        <v>35</v>
      </c>
      <c r="E10" s="1" t="s">
        <v>36</v>
      </c>
      <c r="F10" s="4">
        <v>1</v>
      </c>
      <c r="G10" s="1" t="s">
        <v>37</v>
      </c>
      <c r="H10" s="2">
        <v>4.4999999999999997E-3</v>
      </c>
      <c r="I10" s="1" t="s">
        <v>330</v>
      </c>
      <c r="J10" s="1" t="s">
        <v>329</v>
      </c>
    </row>
    <row r="11" spans="1:10" x14ac:dyDescent="0.35">
      <c r="A11" s="1" t="s">
        <v>38</v>
      </c>
      <c r="B11" s="1" t="s">
        <v>10</v>
      </c>
      <c r="C11" s="1" t="s">
        <v>327</v>
      </c>
      <c r="D11" s="1" t="s">
        <v>39</v>
      </c>
      <c r="E11" s="1" t="s">
        <v>40</v>
      </c>
      <c r="F11" s="4">
        <v>152</v>
      </c>
      <c r="G11" s="1" t="s">
        <v>41</v>
      </c>
      <c r="H11" s="2">
        <v>1E-4</v>
      </c>
      <c r="I11" s="1" t="s">
        <v>328</v>
      </c>
      <c r="J11" s="1">
        <v>486</v>
      </c>
    </row>
    <row r="12" spans="1:10" x14ac:dyDescent="0.35">
      <c r="A12" s="1" t="s">
        <v>42</v>
      </c>
      <c r="B12" s="1" t="s">
        <v>10</v>
      </c>
      <c r="C12" s="1" t="s">
        <v>326</v>
      </c>
      <c r="D12" s="1" t="s">
        <v>43</v>
      </c>
      <c r="E12" s="1" t="s">
        <v>44</v>
      </c>
      <c r="F12" s="4">
        <v>240</v>
      </c>
      <c r="G12" s="1" t="s">
        <v>45</v>
      </c>
      <c r="H12" s="2">
        <v>8.9999999999999998E-4</v>
      </c>
      <c r="I12" s="1" t="s">
        <v>325</v>
      </c>
      <c r="J12" s="1" t="s">
        <v>324</v>
      </c>
    </row>
    <row r="13" spans="1:10" x14ac:dyDescent="0.35">
      <c r="A13" s="1" t="s">
        <v>46</v>
      </c>
      <c r="B13" s="1" t="s">
        <v>10</v>
      </c>
      <c r="C13" s="1" t="s">
        <v>321</v>
      </c>
      <c r="D13" s="1" t="s">
        <v>47</v>
      </c>
      <c r="E13" s="1" t="s">
        <v>48</v>
      </c>
      <c r="F13" s="4">
        <v>910</v>
      </c>
      <c r="G13" s="1" t="s">
        <v>49</v>
      </c>
      <c r="H13" s="2">
        <v>2.2000000000000001E-3</v>
      </c>
      <c r="I13" s="1" t="s">
        <v>322</v>
      </c>
      <c r="J13" s="1" t="s">
        <v>323</v>
      </c>
    </row>
    <row r="14" spans="1:10" x14ac:dyDescent="0.35">
      <c r="A14" s="1" t="s">
        <v>50</v>
      </c>
      <c r="B14" s="1" t="s">
        <v>10</v>
      </c>
      <c r="C14" s="1" t="s">
        <v>320</v>
      </c>
      <c r="D14" s="1" t="s">
        <v>51</v>
      </c>
      <c r="E14" s="1" t="s">
        <v>52</v>
      </c>
      <c r="F14" s="4">
        <v>268</v>
      </c>
      <c r="G14" s="4">
        <v>592</v>
      </c>
      <c r="H14" s="2">
        <v>7.0000000000000001E-3</v>
      </c>
      <c r="I14" s="1" t="s">
        <v>222</v>
      </c>
      <c r="J14" s="1" t="s">
        <v>319</v>
      </c>
    </row>
    <row r="15" spans="1:10" x14ac:dyDescent="0.35">
      <c r="A15" s="1" t="s">
        <v>53</v>
      </c>
      <c r="B15" s="1" t="s">
        <v>10</v>
      </c>
      <c r="C15" s="1" t="s">
        <v>317</v>
      </c>
      <c r="D15" s="1" t="s">
        <v>54</v>
      </c>
      <c r="E15" s="1" t="s">
        <v>55</v>
      </c>
      <c r="F15" s="4">
        <v>0</v>
      </c>
      <c r="G15" s="4">
        <v>701</v>
      </c>
      <c r="H15" s="2">
        <v>2.2599999999999999E-2</v>
      </c>
      <c r="I15" s="1" t="s">
        <v>318</v>
      </c>
      <c r="J15" s="1">
        <v>0</v>
      </c>
    </row>
    <row r="16" spans="1:10" x14ac:dyDescent="0.35">
      <c r="A16" s="1" t="s">
        <v>56</v>
      </c>
      <c r="B16" s="1" t="s">
        <v>10</v>
      </c>
      <c r="C16" s="1" t="s">
        <v>316</v>
      </c>
      <c r="D16" s="1" t="s">
        <v>57</v>
      </c>
      <c r="E16" s="1" t="s">
        <v>58</v>
      </c>
      <c r="F16" s="4">
        <v>173</v>
      </c>
      <c r="G16" s="1" t="s">
        <v>59</v>
      </c>
      <c r="H16" s="2">
        <v>2.9999999999999997E-4</v>
      </c>
      <c r="I16" s="1" t="s">
        <v>315</v>
      </c>
      <c r="J16" s="1">
        <v>322</v>
      </c>
    </row>
    <row r="17" spans="1:10" x14ac:dyDescent="0.35">
      <c r="A17" s="1" t="s">
        <v>60</v>
      </c>
      <c r="B17" s="1" t="s">
        <v>61</v>
      </c>
      <c r="C17" s="1" t="s">
        <v>312</v>
      </c>
      <c r="D17" s="1" t="s">
        <v>62</v>
      </c>
      <c r="E17" s="1" t="s">
        <v>63</v>
      </c>
      <c r="F17" s="4">
        <v>283</v>
      </c>
      <c r="G17" s="1" t="s">
        <v>64</v>
      </c>
      <c r="H17" s="2">
        <v>2.6800000000000001E-2</v>
      </c>
      <c r="I17" s="1" t="s">
        <v>314</v>
      </c>
      <c r="J17" s="1" t="s">
        <v>313</v>
      </c>
    </row>
    <row r="18" spans="1:10" x14ac:dyDescent="0.35">
      <c r="A18" s="1" t="s">
        <v>65</v>
      </c>
      <c r="B18" s="1" t="s">
        <v>10</v>
      </c>
      <c r="C18" s="1" t="s">
        <v>309</v>
      </c>
      <c r="D18" s="1" t="s">
        <v>66</v>
      </c>
      <c r="E18" s="1" t="s">
        <v>67</v>
      </c>
      <c r="F18" s="1" t="s">
        <v>68</v>
      </c>
      <c r="G18" s="1" t="s">
        <v>69</v>
      </c>
      <c r="H18" s="2">
        <v>1E-3</v>
      </c>
      <c r="I18" s="1" t="s">
        <v>310</v>
      </c>
      <c r="J18" s="1" t="s">
        <v>311</v>
      </c>
    </row>
    <row r="19" spans="1:10" x14ac:dyDescent="0.35">
      <c r="A19" s="1" t="s">
        <v>70</v>
      </c>
      <c r="B19" s="1" t="s">
        <v>1</v>
      </c>
      <c r="C19" s="1" t="s">
        <v>308</v>
      </c>
      <c r="D19" s="1" t="s">
        <v>71</v>
      </c>
      <c r="E19" s="1" t="s">
        <v>72</v>
      </c>
      <c r="F19" s="1" t="s">
        <v>73</v>
      </c>
      <c r="G19" s="1" t="s">
        <v>74</v>
      </c>
      <c r="H19" s="2">
        <v>1.26E-2</v>
      </c>
      <c r="I19" s="1" t="s">
        <v>233</v>
      </c>
      <c r="J19" s="1">
        <v>65</v>
      </c>
    </row>
    <row r="20" spans="1:10" x14ac:dyDescent="0.35">
      <c r="A20" s="1" t="s">
        <v>75</v>
      </c>
      <c r="B20" s="1" t="s">
        <v>10</v>
      </c>
      <c r="C20" s="1" t="s">
        <v>306</v>
      </c>
      <c r="D20" s="1" t="s">
        <v>76</v>
      </c>
      <c r="E20" s="1" t="s">
        <v>77</v>
      </c>
      <c r="F20" s="4">
        <v>158</v>
      </c>
      <c r="G20" s="1" t="s">
        <v>78</v>
      </c>
      <c r="H20" s="2">
        <v>7.3000000000000001E-3</v>
      </c>
      <c r="I20" s="1" t="s">
        <v>307</v>
      </c>
      <c r="J20" s="1" t="s">
        <v>240</v>
      </c>
    </row>
    <row r="21" spans="1:10" x14ac:dyDescent="0.35">
      <c r="A21" s="1" t="s">
        <v>79</v>
      </c>
      <c r="B21" s="1" t="s">
        <v>10</v>
      </c>
      <c r="C21" s="1" t="s">
        <v>305</v>
      </c>
      <c r="D21" s="1" t="s">
        <v>80</v>
      </c>
      <c r="E21" s="1" t="s">
        <v>81</v>
      </c>
      <c r="F21" s="4">
        <v>0</v>
      </c>
      <c r="G21" s="1" t="s">
        <v>82</v>
      </c>
      <c r="H21" s="2">
        <v>3.0000000000000001E-3</v>
      </c>
      <c r="I21" s="1" t="s">
        <v>304</v>
      </c>
      <c r="J21" s="1" t="s">
        <v>303</v>
      </c>
    </row>
    <row r="22" spans="1:10" x14ac:dyDescent="0.35">
      <c r="A22" s="1" t="s">
        <v>83</v>
      </c>
      <c r="B22" s="1" t="s">
        <v>10</v>
      </c>
      <c r="C22" s="1" t="s">
        <v>301</v>
      </c>
      <c r="D22" s="1" t="s">
        <v>84</v>
      </c>
      <c r="E22" s="1" t="s">
        <v>85</v>
      </c>
      <c r="F22" s="4">
        <v>836</v>
      </c>
      <c r="G22" s="1" t="s">
        <v>86</v>
      </c>
      <c r="H22" s="2">
        <v>1.1000000000000001E-3</v>
      </c>
      <c r="I22" s="1" t="s">
        <v>220</v>
      </c>
      <c r="J22" s="1" t="s">
        <v>302</v>
      </c>
    </row>
    <row r="23" spans="1:10" x14ac:dyDescent="0.35">
      <c r="A23" s="1" t="s">
        <v>87</v>
      </c>
      <c r="B23" s="1" t="s">
        <v>1</v>
      </c>
      <c r="C23" s="1" t="s">
        <v>300</v>
      </c>
      <c r="D23" s="1" t="s">
        <v>88</v>
      </c>
      <c r="E23" s="1" t="s">
        <v>89</v>
      </c>
      <c r="F23" s="4">
        <v>65</v>
      </c>
      <c r="G23" s="1" t="s">
        <v>90</v>
      </c>
      <c r="H23" s="2">
        <v>1.5E-3</v>
      </c>
      <c r="I23" s="1" t="s">
        <v>299</v>
      </c>
      <c r="J23" s="1" t="s">
        <v>254</v>
      </c>
    </row>
    <row r="24" spans="1:10" x14ac:dyDescent="0.35">
      <c r="A24" s="1" t="s">
        <v>91</v>
      </c>
      <c r="B24" s="1" t="s">
        <v>92</v>
      </c>
      <c r="C24" s="1" t="s">
        <v>296</v>
      </c>
      <c r="D24" s="1" t="s">
        <v>93</v>
      </c>
      <c r="E24" s="1" t="s">
        <v>94</v>
      </c>
      <c r="F24" s="1" t="s">
        <v>95</v>
      </c>
      <c r="G24" s="1" t="s">
        <v>96</v>
      </c>
      <c r="H24" s="2">
        <v>8.0000000000000004E-4</v>
      </c>
      <c r="I24" s="1" t="s">
        <v>297</v>
      </c>
      <c r="J24" s="1" t="s">
        <v>298</v>
      </c>
    </row>
    <row r="25" spans="1:10" x14ac:dyDescent="0.35">
      <c r="A25" s="1" t="s">
        <v>97</v>
      </c>
      <c r="B25" s="1" t="s">
        <v>10</v>
      </c>
      <c r="C25" s="1" t="s">
        <v>295</v>
      </c>
      <c r="D25" s="1" t="s">
        <v>98</v>
      </c>
      <c r="E25" s="1" t="s">
        <v>99</v>
      </c>
      <c r="F25" s="4">
        <v>0</v>
      </c>
      <c r="G25" s="1" t="s">
        <v>100</v>
      </c>
      <c r="H25" s="2">
        <v>2.3699999999999999E-2</v>
      </c>
      <c r="I25" s="1" t="s">
        <v>294</v>
      </c>
      <c r="J25" s="1" t="s">
        <v>226</v>
      </c>
    </row>
    <row r="26" spans="1:10" x14ac:dyDescent="0.35">
      <c r="A26" s="1" t="s">
        <v>101</v>
      </c>
      <c r="B26" s="1" t="s">
        <v>10</v>
      </c>
      <c r="C26" s="1" t="s">
        <v>291</v>
      </c>
      <c r="D26" s="1" t="s">
        <v>102</v>
      </c>
      <c r="E26" s="1" t="s">
        <v>103</v>
      </c>
      <c r="F26" s="1" t="s">
        <v>104</v>
      </c>
      <c r="G26" s="1" t="s">
        <v>105</v>
      </c>
      <c r="H26" s="2">
        <v>1.09E-2</v>
      </c>
      <c r="I26" s="1" t="s">
        <v>292</v>
      </c>
      <c r="J26" s="1" t="s">
        <v>293</v>
      </c>
    </row>
    <row r="27" spans="1:10" x14ac:dyDescent="0.35">
      <c r="A27" s="1" t="s">
        <v>106</v>
      </c>
      <c r="B27" s="1" t="s">
        <v>10</v>
      </c>
      <c r="C27" s="1" t="s">
        <v>290</v>
      </c>
      <c r="D27" s="1" t="s">
        <v>107</v>
      </c>
      <c r="E27" s="1" t="s">
        <v>108</v>
      </c>
      <c r="F27" s="4">
        <v>455</v>
      </c>
      <c r="G27" s="1" t="s">
        <v>109</v>
      </c>
      <c r="H27" s="2">
        <v>2.3999999999999998E-3</v>
      </c>
      <c r="I27" s="1" t="s">
        <v>289</v>
      </c>
      <c r="J27" s="1" t="s">
        <v>288</v>
      </c>
    </row>
    <row r="28" spans="1:10" x14ac:dyDescent="0.35">
      <c r="A28" s="1" t="s">
        <v>110</v>
      </c>
      <c r="B28" s="1" t="s">
        <v>10</v>
      </c>
      <c r="C28" s="1" t="s">
        <v>285</v>
      </c>
      <c r="D28" s="1" t="s">
        <v>111</v>
      </c>
      <c r="E28" s="1" t="s">
        <v>112</v>
      </c>
      <c r="F28" s="4">
        <v>848</v>
      </c>
      <c r="G28" s="4">
        <v>70</v>
      </c>
      <c r="H28" s="2">
        <v>2E-3</v>
      </c>
      <c r="I28" s="1" t="s">
        <v>287</v>
      </c>
      <c r="J28" s="1" t="s">
        <v>286</v>
      </c>
    </row>
    <row r="29" spans="1:10" x14ac:dyDescent="0.35">
      <c r="A29" s="1" t="s">
        <v>113</v>
      </c>
      <c r="B29" s="1" t="s">
        <v>10</v>
      </c>
      <c r="C29" s="1" t="s">
        <v>114</v>
      </c>
      <c r="D29" s="1" t="s">
        <v>114</v>
      </c>
      <c r="E29" s="1" t="s">
        <v>115</v>
      </c>
      <c r="F29" s="1" t="s">
        <v>116</v>
      </c>
      <c r="G29" s="1" t="s">
        <v>117</v>
      </c>
      <c r="H29" s="2">
        <v>1.6E-2</v>
      </c>
      <c r="I29" s="1" t="s">
        <v>258</v>
      </c>
      <c r="J29" s="1" t="s">
        <v>284</v>
      </c>
    </row>
    <row r="30" spans="1:10" x14ac:dyDescent="0.35">
      <c r="A30" s="1" t="s">
        <v>118</v>
      </c>
      <c r="B30" s="1" t="s">
        <v>119</v>
      </c>
      <c r="C30" s="1" t="s">
        <v>282</v>
      </c>
      <c r="D30" s="1" t="s">
        <v>120</v>
      </c>
      <c r="E30" s="1" t="s">
        <v>121</v>
      </c>
      <c r="F30" s="4">
        <v>106</v>
      </c>
      <c r="G30" s="1" t="s">
        <v>122</v>
      </c>
      <c r="H30" s="2">
        <v>3.3E-3</v>
      </c>
      <c r="I30" s="1" t="s">
        <v>215</v>
      </c>
      <c r="J30" s="1" t="s">
        <v>283</v>
      </c>
    </row>
    <row r="31" spans="1:10" x14ac:dyDescent="0.35">
      <c r="A31" s="1" t="s">
        <v>123</v>
      </c>
      <c r="B31" s="1" t="s">
        <v>10</v>
      </c>
      <c r="C31" s="1" t="s">
        <v>281</v>
      </c>
      <c r="D31" s="1" t="s">
        <v>124</v>
      </c>
      <c r="E31" s="1" t="s">
        <v>125</v>
      </c>
      <c r="F31" s="4">
        <v>2</v>
      </c>
      <c r="G31" s="1" t="s">
        <v>126</v>
      </c>
      <c r="H31" s="2">
        <v>3.5000000000000001E-3</v>
      </c>
      <c r="I31" s="1" t="s">
        <v>280</v>
      </c>
      <c r="J31" s="1" t="s">
        <v>225</v>
      </c>
    </row>
    <row r="32" spans="1:10" x14ac:dyDescent="0.35">
      <c r="A32" s="1" t="s">
        <v>127</v>
      </c>
      <c r="B32" s="1" t="s">
        <v>10</v>
      </c>
      <c r="C32" s="1" t="s">
        <v>128</v>
      </c>
      <c r="D32" s="1" t="s">
        <v>128</v>
      </c>
      <c r="E32" s="1" t="s">
        <v>129</v>
      </c>
      <c r="F32" s="1" t="s">
        <v>130</v>
      </c>
      <c r="G32" s="4">
        <v>670</v>
      </c>
      <c r="H32" s="2">
        <v>7.9000000000000008E-3</v>
      </c>
      <c r="I32" s="1" t="s">
        <v>278</v>
      </c>
      <c r="J32" s="1" t="s">
        <v>279</v>
      </c>
    </row>
    <row r="33" spans="1:10" x14ac:dyDescent="0.35">
      <c r="A33" s="1" t="s">
        <v>131</v>
      </c>
      <c r="B33" s="1" t="s">
        <v>10</v>
      </c>
      <c r="C33" s="1" t="s">
        <v>277</v>
      </c>
      <c r="D33" s="1" t="s">
        <v>132</v>
      </c>
      <c r="E33" s="1" t="s">
        <v>133</v>
      </c>
      <c r="F33" s="4">
        <v>443</v>
      </c>
      <c r="G33" s="1" t="s">
        <v>134</v>
      </c>
      <c r="H33" s="2">
        <v>5.9999999999999995E-4</v>
      </c>
      <c r="I33" s="1" t="s">
        <v>276</v>
      </c>
      <c r="J33" s="1" t="s">
        <v>275</v>
      </c>
    </row>
    <row r="34" spans="1:10" x14ac:dyDescent="0.35">
      <c r="A34" s="1" t="s">
        <v>135</v>
      </c>
      <c r="B34" s="1" t="s">
        <v>1</v>
      </c>
      <c r="C34" s="1" t="s">
        <v>273</v>
      </c>
      <c r="D34" s="1" t="s">
        <v>136</v>
      </c>
      <c r="E34" s="1" t="s">
        <v>137</v>
      </c>
      <c r="F34" s="4">
        <v>495</v>
      </c>
      <c r="G34" s="1" t="s">
        <v>138</v>
      </c>
      <c r="H34" s="2">
        <v>2.5999999999999999E-2</v>
      </c>
      <c r="I34" s="1" t="s">
        <v>221</v>
      </c>
      <c r="J34" s="1" t="s">
        <v>274</v>
      </c>
    </row>
    <row r="35" spans="1:10" x14ac:dyDescent="0.35">
      <c r="A35" s="1" t="s">
        <v>139</v>
      </c>
      <c r="B35" s="1" t="s">
        <v>1</v>
      </c>
      <c r="C35" s="1" t="s">
        <v>272</v>
      </c>
      <c r="D35" s="1" t="s">
        <v>140</v>
      </c>
      <c r="E35" s="1" t="s">
        <v>141</v>
      </c>
      <c r="F35" s="4">
        <v>0</v>
      </c>
      <c r="G35" s="1" t="s">
        <v>142</v>
      </c>
      <c r="H35" s="2">
        <v>2.6800000000000001E-2</v>
      </c>
      <c r="I35" s="1" t="s">
        <v>221</v>
      </c>
      <c r="J35" s="1" t="s">
        <v>227</v>
      </c>
    </row>
    <row r="36" spans="1:10" x14ac:dyDescent="0.35">
      <c r="A36" s="1" t="s">
        <v>143</v>
      </c>
      <c r="B36" s="1" t="s">
        <v>10</v>
      </c>
      <c r="C36" s="1" t="s">
        <v>270</v>
      </c>
      <c r="D36" s="1" t="s">
        <v>144</v>
      </c>
      <c r="E36" s="1" t="s">
        <v>145</v>
      </c>
      <c r="F36" s="4">
        <v>517</v>
      </c>
      <c r="G36" s="1" t="s">
        <v>146</v>
      </c>
      <c r="H36" s="2">
        <v>1.6000000000000001E-3</v>
      </c>
      <c r="I36" s="1" t="s">
        <v>271</v>
      </c>
      <c r="J36" s="1">
        <v>717</v>
      </c>
    </row>
    <row r="37" spans="1:10" x14ac:dyDescent="0.35">
      <c r="A37" s="1" t="s">
        <v>147</v>
      </c>
      <c r="B37" s="1" t="s">
        <v>10</v>
      </c>
      <c r="C37" s="1" t="s">
        <v>269</v>
      </c>
      <c r="D37" s="1" t="s">
        <v>148</v>
      </c>
      <c r="E37" s="1" t="s">
        <v>149</v>
      </c>
      <c r="F37" s="1" t="s">
        <v>150</v>
      </c>
      <c r="G37" s="1" t="s">
        <v>151</v>
      </c>
      <c r="H37" s="2">
        <v>3.0000000000000001E-3</v>
      </c>
      <c r="I37" s="1" t="s">
        <v>268</v>
      </c>
      <c r="J37" s="1">
        <v>21</v>
      </c>
    </row>
    <row r="38" spans="1:10" x14ac:dyDescent="0.35">
      <c r="A38" s="1" t="s">
        <v>152</v>
      </c>
      <c r="B38" s="1" t="s">
        <v>92</v>
      </c>
      <c r="C38" s="1" t="s">
        <v>265</v>
      </c>
      <c r="D38" s="1" t="s">
        <v>153</v>
      </c>
      <c r="E38" s="1" t="s">
        <v>154</v>
      </c>
      <c r="F38" s="4">
        <v>88</v>
      </c>
      <c r="G38" s="1" t="s">
        <v>155</v>
      </c>
      <c r="H38" s="2">
        <v>7.6E-3</v>
      </c>
      <c r="I38" s="1" t="s">
        <v>266</v>
      </c>
      <c r="J38" s="1" t="s">
        <v>267</v>
      </c>
    </row>
    <row r="39" spans="1:10" x14ac:dyDescent="0.35">
      <c r="A39" s="1" t="s">
        <v>156</v>
      </c>
      <c r="B39" s="1" t="s">
        <v>1</v>
      </c>
      <c r="C39" s="1" t="s">
        <v>264</v>
      </c>
      <c r="D39" s="1" t="s">
        <v>157</v>
      </c>
      <c r="E39" s="1" t="s">
        <v>158</v>
      </c>
      <c r="F39" s="4">
        <v>0</v>
      </c>
      <c r="G39" s="1" t="s">
        <v>159</v>
      </c>
      <c r="H39" s="2">
        <v>8.3999999999999995E-3</v>
      </c>
      <c r="I39" s="1" t="s">
        <v>263</v>
      </c>
      <c r="J39" s="1" t="s">
        <v>218</v>
      </c>
    </row>
    <row r="40" spans="1:10" x14ac:dyDescent="0.35">
      <c r="A40" s="1" t="s">
        <v>160</v>
      </c>
      <c r="B40" s="1" t="s">
        <v>1</v>
      </c>
      <c r="C40" s="1" t="s">
        <v>260</v>
      </c>
      <c r="D40" s="1" t="s">
        <v>161</v>
      </c>
      <c r="E40" s="1" t="s">
        <v>162</v>
      </c>
      <c r="F40" s="4">
        <v>92</v>
      </c>
      <c r="G40" s="1" t="s">
        <v>163</v>
      </c>
      <c r="H40" s="2">
        <v>3.0999999999999999E-3</v>
      </c>
      <c r="I40" s="1" t="s">
        <v>261</v>
      </c>
      <c r="J40" s="1" t="s">
        <v>262</v>
      </c>
    </row>
    <row r="41" spans="1:10" x14ac:dyDescent="0.35">
      <c r="A41" s="1" t="s">
        <v>164</v>
      </c>
      <c r="B41" s="1" t="s">
        <v>61</v>
      </c>
      <c r="C41" s="1" t="s">
        <v>259</v>
      </c>
      <c r="D41" s="1" t="s">
        <v>165</v>
      </c>
      <c r="E41" s="1" t="s">
        <v>166</v>
      </c>
      <c r="F41" s="4">
        <v>199</v>
      </c>
      <c r="G41" s="1" t="s">
        <v>167</v>
      </c>
      <c r="H41" s="2">
        <v>1.35E-2</v>
      </c>
      <c r="I41" s="1" t="s">
        <v>230</v>
      </c>
      <c r="J41" s="1" t="s">
        <v>227</v>
      </c>
    </row>
    <row r="42" spans="1:10" x14ac:dyDescent="0.35">
      <c r="A42" s="1" t="s">
        <v>168</v>
      </c>
      <c r="B42" s="1" t="s">
        <v>10</v>
      </c>
      <c r="C42" s="1" t="s">
        <v>257</v>
      </c>
      <c r="D42" s="1" t="s">
        <v>169</v>
      </c>
      <c r="E42" s="1" t="s">
        <v>170</v>
      </c>
      <c r="F42" s="4">
        <v>893</v>
      </c>
      <c r="G42" s="1" t="s">
        <v>155</v>
      </c>
      <c r="H42" s="2">
        <v>2.5100000000000001E-2</v>
      </c>
      <c r="I42" s="1" t="s">
        <v>258</v>
      </c>
      <c r="J42" s="1" t="s">
        <v>228</v>
      </c>
    </row>
    <row r="43" spans="1:10" x14ac:dyDescent="0.35">
      <c r="A43" s="1" t="s">
        <v>171</v>
      </c>
      <c r="B43" s="1" t="s">
        <v>1</v>
      </c>
      <c r="C43" s="1" t="s">
        <v>256</v>
      </c>
      <c r="D43" s="1" t="s">
        <v>172</v>
      </c>
      <c r="E43" s="1" t="s">
        <v>173</v>
      </c>
      <c r="F43" s="4">
        <v>627</v>
      </c>
      <c r="G43" s="1" t="s">
        <v>8</v>
      </c>
      <c r="H43" s="2">
        <v>5.7000000000000002E-3</v>
      </c>
      <c r="I43" s="1" t="s">
        <v>255</v>
      </c>
      <c r="J43" s="1" t="s">
        <v>254</v>
      </c>
    </row>
    <row r="44" spans="1:10" x14ac:dyDescent="0.35">
      <c r="A44" s="1" t="s">
        <v>174</v>
      </c>
      <c r="B44" s="1" t="s">
        <v>10</v>
      </c>
      <c r="C44" s="1" t="s">
        <v>252</v>
      </c>
      <c r="D44" s="1" t="s">
        <v>175</v>
      </c>
      <c r="E44" s="1" t="s">
        <v>176</v>
      </c>
      <c r="F44" s="1" t="s">
        <v>177</v>
      </c>
      <c r="G44" s="1" t="s">
        <v>178</v>
      </c>
      <c r="H44" s="2">
        <v>2.9999999999999997E-4</v>
      </c>
      <c r="I44" s="1" t="s">
        <v>253</v>
      </c>
      <c r="J44" s="1">
        <v>336</v>
      </c>
    </row>
    <row r="45" spans="1:10" x14ac:dyDescent="0.35">
      <c r="A45" s="1" t="s">
        <v>179</v>
      </c>
      <c r="B45" s="1" t="s">
        <v>1</v>
      </c>
      <c r="C45" s="1" t="s">
        <v>246</v>
      </c>
      <c r="D45" s="1" t="s">
        <v>180</v>
      </c>
      <c r="E45" s="1" t="s">
        <v>181</v>
      </c>
      <c r="F45" s="4">
        <v>0</v>
      </c>
      <c r="G45" s="1" t="s">
        <v>182</v>
      </c>
      <c r="H45" s="2">
        <v>4.3900000000000002E-2</v>
      </c>
      <c r="I45" s="1" t="s">
        <v>223</v>
      </c>
      <c r="J45" s="1" t="s">
        <v>234</v>
      </c>
    </row>
    <row r="46" spans="1:10" x14ac:dyDescent="0.35">
      <c r="A46" s="1" t="s">
        <v>183</v>
      </c>
      <c r="B46" s="1" t="s">
        <v>10</v>
      </c>
      <c r="C46" s="1" t="s">
        <v>251</v>
      </c>
      <c r="D46" s="1" t="s">
        <v>184</v>
      </c>
      <c r="E46" s="1" t="s">
        <v>185</v>
      </c>
      <c r="F46" s="4">
        <v>7</v>
      </c>
      <c r="G46" s="4">
        <v>491</v>
      </c>
      <c r="H46" s="2">
        <v>1.83E-2</v>
      </c>
      <c r="I46" s="1" t="s">
        <v>238</v>
      </c>
      <c r="J46" s="1" t="s">
        <v>243</v>
      </c>
    </row>
    <row r="47" spans="1:10" x14ac:dyDescent="0.35">
      <c r="A47" s="1" t="s">
        <v>186</v>
      </c>
      <c r="B47" s="1" t="s">
        <v>92</v>
      </c>
      <c r="C47" s="1" t="s">
        <v>250</v>
      </c>
      <c r="D47" s="1" t="s">
        <v>187</v>
      </c>
      <c r="E47" s="1" t="s">
        <v>188</v>
      </c>
      <c r="F47" s="4">
        <v>665</v>
      </c>
      <c r="G47" s="1" t="s">
        <v>189</v>
      </c>
      <c r="H47" s="2">
        <v>7.9000000000000008E-3</v>
      </c>
      <c r="I47" s="1" t="s">
        <v>242</v>
      </c>
      <c r="J47" s="1" t="s">
        <v>241</v>
      </c>
    </row>
    <row r="48" spans="1:10" x14ac:dyDescent="0.35">
      <c r="A48" s="1" t="s">
        <v>190</v>
      </c>
      <c r="B48" s="1" t="s">
        <v>10</v>
      </c>
      <c r="C48" s="1" t="s">
        <v>191</v>
      </c>
      <c r="D48" s="1" t="s">
        <v>191</v>
      </c>
      <c r="E48" s="1" t="s">
        <v>192</v>
      </c>
      <c r="F48" s="1" t="s">
        <v>193</v>
      </c>
      <c r="G48" s="1" t="s">
        <v>194</v>
      </c>
      <c r="H48" s="2">
        <v>6.9999999999999999E-4</v>
      </c>
      <c r="I48" s="1" t="s">
        <v>239</v>
      </c>
      <c r="J48" s="1" t="s">
        <v>240</v>
      </c>
    </row>
    <row r="49" spans="1:10" x14ac:dyDescent="0.35">
      <c r="A49" s="1" t="s">
        <v>195</v>
      </c>
      <c r="B49" s="1" t="s">
        <v>61</v>
      </c>
      <c r="C49" s="1" t="s">
        <v>249</v>
      </c>
      <c r="D49" s="1" t="s">
        <v>196</v>
      </c>
      <c r="E49" s="1" t="s">
        <v>197</v>
      </c>
      <c r="F49" s="4">
        <v>539</v>
      </c>
      <c r="G49" s="1" t="s">
        <v>155</v>
      </c>
      <c r="H49" s="2">
        <v>1.84E-2</v>
      </c>
      <c r="I49" s="1" t="s">
        <v>238</v>
      </c>
      <c r="J49" s="1" t="s">
        <v>237</v>
      </c>
    </row>
    <row r="50" spans="1:10" x14ac:dyDescent="0.35">
      <c r="A50" s="1" t="s">
        <v>198</v>
      </c>
      <c r="B50" s="1" t="s">
        <v>119</v>
      </c>
      <c r="C50" s="1" t="s">
        <v>248</v>
      </c>
      <c r="D50" s="1" t="s">
        <v>199</v>
      </c>
      <c r="E50" s="1" t="s">
        <v>200</v>
      </c>
      <c r="F50" s="4">
        <v>859</v>
      </c>
      <c r="G50" s="4">
        <v>444</v>
      </c>
      <c r="H50" s="2">
        <v>1.03E-2</v>
      </c>
      <c r="I50" s="1" t="s">
        <v>235</v>
      </c>
      <c r="J50" s="2" t="s">
        <v>236</v>
      </c>
    </row>
    <row r="51" spans="1:10" x14ac:dyDescent="0.35">
      <c r="A51" s="1" t="s">
        <v>201</v>
      </c>
      <c r="B51" s="1" t="s">
        <v>92</v>
      </c>
      <c r="C51" s="1" t="s">
        <v>247</v>
      </c>
      <c r="D51" s="1" t="s">
        <v>202</v>
      </c>
      <c r="E51" s="1" t="s">
        <v>203</v>
      </c>
      <c r="F51" s="4">
        <v>0</v>
      </c>
      <c r="G51" s="1" t="s">
        <v>204</v>
      </c>
      <c r="H51" s="2">
        <v>3.56E-2</v>
      </c>
      <c r="I51" s="1" t="s">
        <v>233</v>
      </c>
      <c r="J51" s="1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A0CF-119F-4636-8089-CDDCBFAC4CEF}">
  <dimension ref="A1:O51"/>
  <sheetViews>
    <sheetView tabSelected="1" topLeftCell="K1" workbookViewId="0">
      <selection activeCell="O13" sqref="O13"/>
    </sheetView>
  </sheetViews>
  <sheetFormatPr defaultRowHeight="15.5" x14ac:dyDescent="0.35"/>
  <cols>
    <col min="1" max="1" width="13.58203125" bestFit="1" customWidth="1"/>
    <col min="2" max="2" width="5.83203125" bestFit="1" customWidth="1"/>
    <col min="3" max="3" width="15.58203125" bestFit="1" customWidth="1"/>
    <col min="4" max="4" width="23.83203125" bestFit="1" customWidth="1"/>
    <col min="5" max="5" width="9.4140625" customWidth="1"/>
    <col min="6" max="6" width="12.6640625" customWidth="1"/>
    <col min="7" max="7" width="7" customWidth="1"/>
    <col min="8" max="8" width="6.08203125" customWidth="1"/>
    <col min="9" max="9" width="7.9140625" customWidth="1"/>
    <col min="10" max="10" width="8.75" customWidth="1"/>
    <col min="11" max="11" width="15.4140625" bestFit="1" customWidth="1"/>
    <col min="12" max="12" width="7.1640625" customWidth="1"/>
    <col min="13" max="13" width="11.58203125" customWidth="1"/>
    <col min="14" max="15" width="9.33203125" customWidth="1"/>
  </cols>
  <sheetData>
    <row r="1" spans="1:15" x14ac:dyDescent="0.35">
      <c r="A1" s="3" t="s">
        <v>206</v>
      </c>
      <c r="B1" s="3" t="s">
        <v>205</v>
      </c>
      <c r="C1" s="3" t="s">
        <v>244</v>
      </c>
      <c r="D1" s="3" t="s">
        <v>245</v>
      </c>
      <c r="E1" s="6" t="s">
        <v>207</v>
      </c>
      <c r="F1" s="6"/>
      <c r="G1" s="6" t="s">
        <v>208</v>
      </c>
      <c r="H1" s="6"/>
      <c r="I1" s="6" t="s">
        <v>209</v>
      </c>
      <c r="J1" s="6"/>
      <c r="K1" s="3" t="s">
        <v>210</v>
      </c>
      <c r="L1" s="6" t="s">
        <v>211</v>
      </c>
      <c r="M1" s="6"/>
      <c r="N1" s="6" t="s">
        <v>212</v>
      </c>
      <c r="O1" s="6"/>
    </row>
    <row r="2" spans="1:15" x14ac:dyDescent="0.35">
      <c r="A2" s="1" t="s">
        <v>0</v>
      </c>
      <c r="B2" s="1" t="s">
        <v>1</v>
      </c>
      <c r="C2" s="1" t="s">
        <v>342</v>
      </c>
      <c r="D2" s="1" t="s">
        <v>2</v>
      </c>
      <c r="E2" s="1" t="s">
        <v>3</v>
      </c>
      <c r="F2" s="5">
        <f>SUBSTITUTE(SUBSTITUTE(E2,"K","e3"),"M","e6")*1</f>
        <v>698950000</v>
      </c>
      <c r="G2" s="4">
        <v>187</v>
      </c>
      <c r="H2" s="5">
        <f>SUBSTITUTE(SUBSTITUTE(G2,"K","e3"),"M","e6")*1</f>
        <v>187</v>
      </c>
      <c r="I2" s="1" t="s">
        <v>4</v>
      </c>
      <c r="J2" s="5">
        <f>SUBSTITUTE(SUBSTITUTE(I2,"K","e3"),"M","e6")*1</f>
        <v>8320</v>
      </c>
      <c r="K2" s="2">
        <v>2.9999999999999997E-4</v>
      </c>
      <c r="L2" s="1" t="s">
        <v>214</v>
      </c>
      <c r="M2" s="5">
        <f>SUBSTITUTE(SUBSTITUTE(L2,"K","e3"),"M","e6")*1</f>
        <v>172000</v>
      </c>
      <c r="N2" s="1" t="s">
        <v>213</v>
      </c>
      <c r="O2" s="5">
        <f>SUBSTITUTE(SUBSTITUTE(N2,"K","e3"),"M","e6")*1</f>
        <v>14000</v>
      </c>
    </row>
    <row r="3" spans="1:15" x14ac:dyDescent="0.35">
      <c r="A3" s="1" t="s">
        <v>5</v>
      </c>
      <c r="B3" s="1" t="s">
        <v>1</v>
      </c>
      <c r="C3" s="1" t="s">
        <v>341</v>
      </c>
      <c r="D3" s="1" t="s">
        <v>6</v>
      </c>
      <c r="E3" s="1" t="s">
        <v>7</v>
      </c>
      <c r="F3" s="5">
        <f t="shared" ref="F3:F51" si="0">SUBSTITUTE(SUBSTITUTE(E3,"K","e3"),"M","e6")*1</f>
        <v>670980000</v>
      </c>
      <c r="G3" s="4">
        <v>625</v>
      </c>
      <c r="H3" s="5">
        <f t="shared" ref="H3:J51" si="1">SUBSTITUTE(SUBSTITUTE(G3,"K","e3"),"M","e6")*1</f>
        <v>625</v>
      </c>
      <c r="I3" s="1" t="s">
        <v>8</v>
      </c>
      <c r="J3" s="5">
        <f t="shared" si="1"/>
        <v>4010</v>
      </c>
      <c r="K3" s="2">
        <v>6.8999999999999999E-3</v>
      </c>
      <c r="L3" s="1" t="s">
        <v>216</v>
      </c>
      <c r="M3" s="5">
        <f t="shared" ref="M3" si="2">SUBSTITUTE(SUBSTITUTE(L3,"K","e3"),"M","e6")*1</f>
        <v>4700000</v>
      </c>
      <c r="N3" s="1" t="s">
        <v>217</v>
      </c>
      <c r="O3" s="5">
        <f t="shared" ref="O3" si="3">SUBSTITUTE(SUBSTITUTE(N3,"K","e3"),"M","e6")*1</f>
        <v>44000</v>
      </c>
    </row>
    <row r="4" spans="1:15" x14ac:dyDescent="0.35">
      <c r="A4" s="1" t="s">
        <v>9</v>
      </c>
      <c r="B4" s="1" t="s">
        <v>10</v>
      </c>
      <c r="C4" s="1" t="s">
        <v>340</v>
      </c>
      <c r="D4" s="1" t="s">
        <v>11</v>
      </c>
      <c r="E4" s="1" t="s">
        <v>12</v>
      </c>
      <c r="F4" s="5">
        <f t="shared" si="0"/>
        <v>511350000</v>
      </c>
      <c r="G4" s="4">
        <v>357</v>
      </c>
      <c r="H4" s="5">
        <f t="shared" si="1"/>
        <v>357</v>
      </c>
      <c r="I4" s="1" t="s">
        <v>13</v>
      </c>
      <c r="J4" s="5">
        <f t="shared" si="1"/>
        <v>1460</v>
      </c>
      <c r="K4" s="2">
        <v>6.4000000000000003E-3</v>
      </c>
      <c r="L4" s="1" t="s">
        <v>221</v>
      </c>
      <c r="M4" s="5">
        <f t="shared" ref="M4" si="4">SUBSTITUTE(SUBSTITUTE(L4,"K","e3"),"M","e6")*1</f>
        <v>3300000</v>
      </c>
      <c r="N4" s="1" t="s">
        <v>219</v>
      </c>
      <c r="O4" s="5">
        <f t="shared" ref="O4" si="5">SUBSTITUTE(SUBSTITUTE(N4,"K","e3"),"M","e6")*1</f>
        <v>30000</v>
      </c>
    </row>
    <row r="5" spans="1:15" x14ac:dyDescent="0.35">
      <c r="A5" s="1" t="s">
        <v>14</v>
      </c>
      <c r="B5" s="1" t="s">
        <v>10</v>
      </c>
      <c r="C5" s="1" t="s">
        <v>339</v>
      </c>
      <c r="D5" s="1" t="s">
        <v>15</v>
      </c>
      <c r="E5" s="1" t="s">
        <v>16</v>
      </c>
      <c r="F5" s="5">
        <f t="shared" si="0"/>
        <v>415510000</v>
      </c>
      <c r="G5" s="4">
        <v>360</v>
      </c>
      <c r="H5" s="5">
        <f t="shared" si="1"/>
        <v>360</v>
      </c>
      <c r="I5" s="1" t="s">
        <v>17</v>
      </c>
      <c r="J5" s="5">
        <f t="shared" si="1"/>
        <v>2150</v>
      </c>
      <c r="K5" s="2">
        <v>4.7000000000000002E-3</v>
      </c>
      <c r="L5" s="1" t="s">
        <v>222</v>
      </c>
      <c r="M5" s="5">
        <f t="shared" ref="M5" si="6">SUBSTITUTE(SUBSTITUTE(L5,"K","e3"),"M","e6")*1</f>
        <v>2000000</v>
      </c>
      <c r="N5" s="1" t="s">
        <v>224</v>
      </c>
      <c r="O5" s="5">
        <f t="shared" ref="O5" si="7">SUBSTITUTE(SUBSTITUTE(N5,"K","e3"),"M","e6")*1</f>
        <v>4000</v>
      </c>
    </row>
    <row r="6" spans="1:15" x14ac:dyDescent="0.35">
      <c r="A6" s="1" t="s">
        <v>18</v>
      </c>
      <c r="B6" s="1" t="s">
        <v>10</v>
      </c>
      <c r="C6" s="1" t="s">
        <v>338</v>
      </c>
      <c r="D6" s="1" t="s">
        <v>19</v>
      </c>
      <c r="E6" s="1" t="s">
        <v>20</v>
      </c>
      <c r="F6" s="5">
        <f t="shared" si="0"/>
        <v>391570000</v>
      </c>
      <c r="G6" s="4">
        <v>132</v>
      </c>
      <c r="H6" s="5">
        <f t="shared" si="1"/>
        <v>132</v>
      </c>
      <c r="I6" s="1" t="s">
        <v>21</v>
      </c>
      <c r="J6" s="5">
        <f t="shared" si="1"/>
        <v>7360</v>
      </c>
      <c r="K6" s="2">
        <v>6.7000000000000002E-3</v>
      </c>
      <c r="L6" s="1" t="s">
        <v>229</v>
      </c>
      <c r="M6" s="5">
        <f t="shared" ref="M6" si="8">SUBSTITUTE(SUBSTITUTE(L6,"K","e3"),"M","e6")*1</f>
        <v>2600000</v>
      </c>
      <c r="N6" s="1" t="s">
        <v>231</v>
      </c>
      <c r="O6" s="5">
        <f t="shared" ref="O6" si="9">SUBSTITUTE(SUBSTITUTE(N6,"K","e3"),"M","e6")*1</f>
        <v>7200</v>
      </c>
    </row>
    <row r="7" spans="1:15" x14ac:dyDescent="0.35">
      <c r="A7" s="1" t="s">
        <v>22</v>
      </c>
      <c r="B7" s="1" t="s">
        <v>10</v>
      </c>
      <c r="C7" s="1" t="s">
        <v>337</v>
      </c>
      <c r="D7" s="1" t="s">
        <v>23</v>
      </c>
      <c r="E7" s="1" t="s">
        <v>24</v>
      </c>
      <c r="F7" s="5">
        <f t="shared" si="0"/>
        <v>390930000</v>
      </c>
      <c r="G7" s="4">
        <v>289</v>
      </c>
      <c r="H7" s="5">
        <f t="shared" si="1"/>
        <v>289</v>
      </c>
      <c r="I7" s="1" t="s">
        <v>25</v>
      </c>
      <c r="J7" s="5">
        <f t="shared" si="1"/>
        <v>8290</v>
      </c>
      <c r="K7" s="2">
        <v>8.0000000000000004E-4</v>
      </c>
      <c r="L7" s="1" t="s">
        <v>232</v>
      </c>
      <c r="M7" s="5">
        <f t="shared" ref="M7" si="10">SUBSTITUTE(SUBSTITUTE(L7,"K","e3"),"M","e6")*1</f>
        <v>248000</v>
      </c>
      <c r="N7" s="1" t="s">
        <v>155</v>
      </c>
      <c r="O7" s="5">
        <f t="shared" ref="O7" si="11">SUBSTITUTE(SUBSTITUTE(N7,"K","e3"),"M","e6")*1</f>
        <v>2200</v>
      </c>
    </row>
    <row r="8" spans="1:15" x14ac:dyDescent="0.35">
      <c r="A8" s="1" t="s">
        <v>26</v>
      </c>
      <c r="B8" s="1" t="s">
        <v>10</v>
      </c>
      <c r="C8" s="1" t="s">
        <v>336</v>
      </c>
      <c r="D8" s="1" t="s">
        <v>27</v>
      </c>
      <c r="E8" s="1" t="s">
        <v>28</v>
      </c>
      <c r="F8" s="5">
        <f t="shared" si="0"/>
        <v>372380000</v>
      </c>
      <c r="G8" s="4" t="s">
        <v>29</v>
      </c>
      <c r="H8" s="5">
        <f t="shared" si="1"/>
        <v>1020</v>
      </c>
      <c r="I8" s="4">
        <v>478</v>
      </c>
      <c r="J8" s="5">
        <f t="shared" si="1"/>
        <v>478</v>
      </c>
      <c r="K8" s="2">
        <v>5.1999999999999998E-3</v>
      </c>
      <c r="L8" s="1" t="s">
        <v>335</v>
      </c>
      <c r="M8" s="5">
        <f t="shared" ref="M8" si="12">SUBSTITUTE(SUBSTITUTE(L8,"K","e3"),"M","e6")*1</f>
        <v>1900000</v>
      </c>
      <c r="N8" s="1">
        <v>40</v>
      </c>
      <c r="O8" s="5">
        <f t="shared" ref="O8" si="13">SUBSTITUTE(SUBSTITUTE(N8,"K","e3"),"M","e6")*1</f>
        <v>40</v>
      </c>
    </row>
    <row r="9" spans="1:15" x14ac:dyDescent="0.35">
      <c r="A9" s="1" t="s">
        <v>30</v>
      </c>
      <c r="B9" s="1" t="s">
        <v>10</v>
      </c>
      <c r="C9" s="1" t="s">
        <v>332</v>
      </c>
      <c r="D9" s="1" t="s">
        <v>31</v>
      </c>
      <c r="E9" s="1" t="s">
        <v>32</v>
      </c>
      <c r="F9" s="5">
        <f t="shared" si="0"/>
        <v>353660000</v>
      </c>
      <c r="G9" s="4">
        <v>355</v>
      </c>
      <c r="H9" s="5">
        <f t="shared" si="1"/>
        <v>355</v>
      </c>
      <c r="I9" s="1" t="s">
        <v>33</v>
      </c>
      <c r="J9" s="5">
        <f t="shared" si="1"/>
        <v>6590</v>
      </c>
      <c r="K9" s="2">
        <v>4.8999999999999998E-3</v>
      </c>
      <c r="L9" s="1" t="s">
        <v>333</v>
      </c>
      <c r="M9" s="5">
        <f t="shared" ref="M9" si="14">SUBSTITUTE(SUBSTITUTE(L9,"K","e3"),"M","e6")*1</f>
        <v>1700000</v>
      </c>
      <c r="N9" s="1" t="s">
        <v>334</v>
      </c>
      <c r="O9" s="5">
        <f t="shared" ref="O9" si="15">SUBSTITUTE(SUBSTITUTE(N9,"K","e3"),"M","e6")*1</f>
        <v>8300</v>
      </c>
    </row>
    <row r="10" spans="1:15" x14ac:dyDescent="0.35">
      <c r="A10" s="1" t="s">
        <v>34</v>
      </c>
      <c r="B10" s="1" t="s">
        <v>10</v>
      </c>
      <c r="C10" s="1" t="s">
        <v>331</v>
      </c>
      <c r="D10" s="1" t="s">
        <v>35</v>
      </c>
      <c r="E10" s="1" t="s">
        <v>36</v>
      </c>
      <c r="F10" s="5">
        <f t="shared" si="0"/>
        <v>308040000</v>
      </c>
      <c r="G10" s="4">
        <v>1</v>
      </c>
      <c r="H10" s="5">
        <f t="shared" si="1"/>
        <v>1</v>
      </c>
      <c r="I10" s="1" t="s">
        <v>37</v>
      </c>
      <c r="J10" s="5">
        <f t="shared" si="1"/>
        <v>2430</v>
      </c>
      <c r="K10" s="2">
        <v>4.4999999999999997E-3</v>
      </c>
      <c r="L10" s="1" t="s">
        <v>330</v>
      </c>
      <c r="M10" s="5">
        <f t="shared" ref="M10" si="16">SUBSTITUTE(SUBSTITUTE(L10,"K","e3"),"M","e6")*1</f>
        <v>1400000</v>
      </c>
      <c r="N10" s="1" t="s">
        <v>329</v>
      </c>
      <c r="O10" s="5">
        <f t="shared" ref="O10" si="17">SUBSTITUTE(SUBSTITUTE(N10,"K","e3"),"M","e6")*1</f>
        <v>23000</v>
      </c>
    </row>
    <row r="11" spans="1:15" x14ac:dyDescent="0.35">
      <c r="A11" s="1" t="s">
        <v>38</v>
      </c>
      <c r="B11" s="1" t="s">
        <v>10</v>
      </c>
      <c r="C11" s="1" t="s">
        <v>327</v>
      </c>
      <c r="D11" s="1" t="s">
        <v>39</v>
      </c>
      <c r="E11" s="1" t="s">
        <v>40</v>
      </c>
      <c r="F11" s="5">
        <f t="shared" si="0"/>
        <v>299720000</v>
      </c>
      <c r="G11" s="4">
        <v>152</v>
      </c>
      <c r="H11" s="5">
        <f t="shared" si="1"/>
        <v>152</v>
      </c>
      <c r="I11" s="1" t="s">
        <v>41</v>
      </c>
      <c r="J11" s="5">
        <f t="shared" si="1"/>
        <v>4780</v>
      </c>
      <c r="K11" s="2">
        <v>1E-4</v>
      </c>
      <c r="L11" s="1" t="s">
        <v>328</v>
      </c>
      <c r="M11" s="5">
        <f t="shared" ref="M11" si="18">SUBSTITUTE(SUBSTITUTE(L11,"K","e3"),"M","e6")*1</f>
        <v>43000</v>
      </c>
      <c r="N11" s="1">
        <v>486</v>
      </c>
      <c r="O11" s="5">
        <f t="shared" ref="O11" si="19">SUBSTITUTE(SUBSTITUTE(N11,"K","e3"),"M","e6")*1</f>
        <v>486</v>
      </c>
    </row>
    <row r="12" spans="1:15" x14ac:dyDescent="0.35">
      <c r="A12" s="1" t="s">
        <v>42</v>
      </c>
      <c r="B12" s="1" t="s">
        <v>10</v>
      </c>
      <c r="C12" s="1" t="s">
        <v>326</v>
      </c>
      <c r="D12" s="1" t="s">
        <v>43</v>
      </c>
      <c r="E12" s="1" t="s">
        <v>44</v>
      </c>
      <c r="F12" s="5">
        <f t="shared" si="0"/>
        <v>298290000</v>
      </c>
      <c r="G12" s="4">
        <v>240</v>
      </c>
      <c r="H12" s="5">
        <f t="shared" si="1"/>
        <v>240</v>
      </c>
      <c r="I12" s="1" t="s">
        <v>45</v>
      </c>
      <c r="J12" s="5">
        <f t="shared" si="1"/>
        <v>1670</v>
      </c>
      <c r="K12" s="2">
        <v>8.9999999999999998E-4</v>
      </c>
      <c r="L12" s="1" t="s">
        <v>325</v>
      </c>
      <c r="M12" s="5">
        <f t="shared" ref="M12" si="20">SUBSTITUTE(SUBSTITUTE(L12,"K","e3"),"M","e6")*1</f>
        <v>282000</v>
      </c>
      <c r="N12" s="1" t="s">
        <v>324</v>
      </c>
      <c r="O12" s="5">
        <f t="shared" ref="O12" si="21">SUBSTITUTE(SUBSTITUTE(N12,"K","e3"),"M","e6")*1</f>
        <v>2700</v>
      </c>
    </row>
    <row r="13" spans="1:15" x14ac:dyDescent="0.35">
      <c r="A13" s="1" t="s">
        <v>46</v>
      </c>
      <c r="B13" s="1" t="s">
        <v>10</v>
      </c>
      <c r="C13" s="1" t="s">
        <v>321</v>
      </c>
      <c r="D13" s="1" t="s">
        <v>47</v>
      </c>
      <c r="E13" s="1" t="s">
        <v>48</v>
      </c>
      <c r="F13" s="5">
        <f t="shared" si="0"/>
        <v>292270000</v>
      </c>
      <c r="G13" s="4">
        <v>910</v>
      </c>
      <c r="H13" s="5">
        <f t="shared" si="1"/>
        <v>910</v>
      </c>
      <c r="I13" s="1" t="s">
        <v>49</v>
      </c>
      <c r="J13" s="5">
        <f t="shared" si="1"/>
        <v>8870</v>
      </c>
      <c r="K13" s="2">
        <v>2.2000000000000001E-3</v>
      </c>
      <c r="L13" s="1" t="s">
        <v>322</v>
      </c>
      <c r="M13" s="5">
        <f t="shared" ref="M13" si="22">SUBSTITUTE(SUBSTITUTE(L13,"K","e3"),"M","e6")*1</f>
        <v>641000</v>
      </c>
      <c r="N13" s="1" t="s">
        <v>323</v>
      </c>
      <c r="O13" s="5">
        <f t="shared" ref="O13" si="23">SUBSTITUTE(SUBSTITUTE(N13,"K","e3"),"M","e6")*1</f>
        <v>5400</v>
      </c>
    </row>
    <row r="14" spans="1:15" x14ac:dyDescent="0.35">
      <c r="A14" s="1" t="s">
        <v>50</v>
      </c>
      <c r="B14" s="1" t="s">
        <v>10</v>
      </c>
      <c r="C14" s="1" t="s">
        <v>320</v>
      </c>
      <c r="D14" s="1" t="s">
        <v>51</v>
      </c>
      <c r="E14" s="1" t="s">
        <v>52</v>
      </c>
      <c r="F14" s="5">
        <f t="shared" si="0"/>
        <v>284760000</v>
      </c>
      <c r="G14" s="4">
        <v>268</v>
      </c>
      <c r="H14" s="5">
        <f t="shared" si="1"/>
        <v>268</v>
      </c>
      <c r="I14" s="4">
        <v>592</v>
      </c>
      <c r="J14" s="5">
        <f t="shared" si="1"/>
        <v>592</v>
      </c>
      <c r="K14" s="2">
        <v>7.0000000000000001E-3</v>
      </c>
      <c r="L14" s="1" t="s">
        <v>222</v>
      </c>
      <c r="M14" s="5">
        <f t="shared" ref="M14" si="24">SUBSTITUTE(SUBSTITUTE(L14,"K","e3"),"M","e6")*1</f>
        <v>2000000</v>
      </c>
      <c r="N14" s="1" t="s">
        <v>319</v>
      </c>
      <c r="O14" s="5">
        <f t="shared" ref="O14" si="25">SUBSTITUTE(SUBSTITUTE(N14,"K","e3"),"M","e6")*1</f>
        <v>6200</v>
      </c>
    </row>
    <row r="15" spans="1:15" x14ac:dyDescent="0.35">
      <c r="A15" s="1" t="s">
        <v>53</v>
      </c>
      <c r="B15" s="1" t="s">
        <v>10</v>
      </c>
      <c r="C15" s="1" t="s">
        <v>317</v>
      </c>
      <c r="D15" s="1" t="s">
        <v>54</v>
      </c>
      <c r="E15" s="1" t="s">
        <v>55</v>
      </c>
      <c r="F15" s="5">
        <f t="shared" si="0"/>
        <v>280920000</v>
      </c>
      <c r="G15" s="4">
        <v>0</v>
      </c>
      <c r="H15" s="5">
        <f t="shared" si="1"/>
        <v>0</v>
      </c>
      <c r="I15" s="4">
        <v>701</v>
      </c>
      <c r="J15" s="5">
        <f t="shared" si="1"/>
        <v>701</v>
      </c>
      <c r="K15" s="2">
        <v>2.2599999999999999E-2</v>
      </c>
      <c r="L15" s="1" t="s">
        <v>318</v>
      </c>
      <c r="M15" s="5">
        <f t="shared" ref="M15" si="26">SUBSTITUTE(SUBSTITUTE(L15,"K","e3"),"M","e6")*1</f>
        <v>6400000</v>
      </c>
      <c r="N15" s="1">
        <v>0</v>
      </c>
      <c r="O15" s="5">
        <f t="shared" ref="O15" si="27">SUBSTITUTE(SUBSTITUTE(N15,"K","e3"),"M","e6")*1</f>
        <v>0</v>
      </c>
    </row>
    <row r="16" spans="1:15" x14ac:dyDescent="0.35">
      <c r="A16" s="1" t="s">
        <v>56</v>
      </c>
      <c r="B16" s="1" t="s">
        <v>10</v>
      </c>
      <c r="C16" s="1" t="s">
        <v>316</v>
      </c>
      <c r="D16" s="1" t="s">
        <v>57</v>
      </c>
      <c r="E16" s="1" t="s">
        <v>58</v>
      </c>
      <c r="F16" s="5">
        <f t="shared" si="0"/>
        <v>275580000</v>
      </c>
      <c r="G16" s="4">
        <v>173</v>
      </c>
      <c r="H16" s="5">
        <f t="shared" si="1"/>
        <v>173</v>
      </c>
      <c r="I16" s="1" t="s">
        <v>59</v>
      </c>
      <c r="J16" s="5">
        <f t="shared" si="1"/>
        <v>31350</v>
      </c>
      <c r="K16" s="2">
        <v>2.9999999999999997E-4</v>
      </c>
      <c r="L16" s="1" t="s">
        <v>315</v>
      </c>
      <c r="M16" s="5">
        <f t="shared" ref="M16" si="28">SUBSTITUTE(SUBSTITUTE(L16,"K","e3"),"M","e6")*1</f>
        <v>72000</v>
      </c>
      <c r="N16" s="1">
        <v>322</v>
      </c>
      <c r="O16" s="5">
        <f t="shared" ref="O16" si="29">SUBSTITUTE(SUBSTITUTE(N16,"K","e3"),"M","e6")*1</f>
        <v>322</v>
      </c>
    </row>
    <row r="17" spans="1:15" x14ac:dyDescent="0.35">
      <c r="A17" s="1" t="s">
        <v>60</v>
      </c>
      <c r="B17" s="1" t="s">
        <v>61</v>
      </c>
      <c r="C17" s="1" t="s">
        <v>312</v>
      </c>
      <c r="D17" s="1" t="s">
        <v>62</v>
      </c>
      <c r="E17" s="1" t="s">
        <v>63</v>
      </c>
      <c r="F17" s="5">
        <f t="shared" si="0"/>
        <v>274900000</v>
      </c>
      <c r="G17" s="4">
        <v>283</v>
      </c>
      <c r="H17" s="5">
        <f t="shared" si="1"/>
        <v>283</v>
      </c>
      <c r="I17" s="1" t="s">
        <v>64</v>
      </c>
      <c r="J17" s="5">
        <f t="shared" si="1"/>
        <v>1040</v>
      </c>
      <c r="K17" s="2">
        <v>2.6800000000000001E-2</v>
      </c>
      <c r="L17" s="1" t="s">
        <v>314</v>
      </c>
      <c r="M17" s="5">
        <f t="shared" ref="M17" si="30">SUBSTITUTE(SUBSTITUTE(L17,"K","e3"),"M","e6")*1</f>
        <v>7200000</v>
      </c>
      <c r="N17" s="1" t="s">
        <v>313</v>
      </c>
      <c r="O17" s="5">
        <f t="shared" ref="O17" si="31">SUBSTITUTE(SUBSTITUTE(N17,"K","e3"),"M","e6")*1</f>
        <v>130000</v>
      </c>
    </row>
    <row r="18" spans="1:15" x14ac:dyDescent="0.35">
      <c r="A18" s="1" t="s">
        <v>65</v>
      </c>
      <c r="B18" s="1" t="s">
        <v>10</v>
      </c>
      <c r="C18" s="1" t="s">
        <v>309</v>
      </c>
      <c r="D18" s="1" t="s">
        <v>66</v>
      </c>
      <c r="E18" s="1" t="s">
        <v>67</v>
      </c>
      <c r="F18" s="5">
        <f t="shared" si="0"/>
        <v>246390000</v>
      </c>
      <c r="G18" s="1" t="s">
        <v>68</v>
      </c>
      <c r="H18" s="5">
        <f t="shared" si="1"/>
        <v>1880</v>
      </c>
      <c r="I18" s="1" t="s">
        <v>69</v>
      </c>
      <c r="J18" s="5">
        <f t="shared" si="1"/>
        <v>1120</v>
      </c>
      <c r="K18" s="2">
        <v>1E-3</v>
      </c>
      <c r="L18" s="1" t="s">
        <v>310</v>
      </c>
      <c r="M18" s="5">
        <f t="shared" ref="M18" si="32">SUBSTITUTE(SUBSTITUTE(L18,"K","e3"),"M","e6")*1</f>
        <v>257000</v>
      </c>
      <c r="N18" s="1" t="s">
        <v>311</v>
      </c>
      <c r="O18" s="5">
        <f t="shared" ref="O18" si="33">SUBSTITUTE(SUBSTITUTE(N18,"K","e3"),"M","e6")*1</f>
        <v>4300</v>
      </c>
    </row>
    <row r="19" spans="1:15" x14ac:dyDescent="0.35">
      <c r="A19" s="1" t="s">
        <v>70</v>
      </c>
      <c r="B19" s="1" t="s">
        <v>1</v>
      </c>
      <c r="C19" s="1" t="s">
        <v>308</v>
      </c>
      <c r="D19" s="1" t="s">
        <v>71</v>
      </c>
      <c r="E19" s="1" t="s">
        <v>72</v>
      </c>
      <c r="F19" s="5">
        <f t="shared" si="0"/>
        <v>233320000</v>
      </c>
      <c r="G19" s="1" t="s">
        <v>73</v>
      </c>
      <c r="H19" s="5">
        <f t="shared" si="1"/>
        <v>1970</v>
      </c>
      <c r="I19" s="1" t="s">
        <v>74</v>
      </c>
      <c r="J19" s="5">
        <f t="shared" si="1"/>
        <v>6030</v>
      </c>
      <c r="K19" s="2">
        <v>1.26E-2</v>
      </c>
      <c r="L19" s="1" t="s">
        <v>233</v>
      </c>
      <c r="M19" s="5">
        <f t="shared" ref="M19" si="34">SUBSTITUTE(SUBSTITUTE(L19,"K","e3"),"M","e6")*1</f>
        <v>3000000</v>
      </c>
      <c r="N19" s="1">
        <v>65</v>
      </c>
      <c r="O19" s="5">
        <f t="shared" ref="O19" si="35">SUBSTITUTE(SUBSTITUTE(N19,"K","e3"),"M","e6")*1</f>
        <v>65</v>
      </c>
    </row>
    <row r="20" spans="1:15" x14ac:dyDescent="0.35">
      <c r="A20" s="1" t="s">
        <v>75</v>
      </c>
      <c r="B20" s="1" t="s">
        <v>10</v>
      </c>
      <c r="C20" s="1" t="s">
        <v>306</v>
      </c>
      <c r="D20" s="1" t="s">
        <v>76</v>
      </c>
      <c r="E20" s="1" t="s">
        <v>77</v>
      </c>
      <c r="F20" s="5">
        <f t="shared" si="0"/>
        <v>215790000</v>
      </c>
      <c r="G20" s="4">
        <v>158</v>
      </c>
      <c r="H20" s="5">
        <f t="shared" si="1"/>
        <v>158</v>
      </c>
      <c r="I20" s="1" t="s">
        <v>78</v>
      </c>
      <c r="J20" s="5">
        <f t="shared" si="1"/>
        <v>4670</v>
      </c>
      <c r="K20" s="2">
        <v>7.3000000000000001E-3</v>
      </c>
      <c r="L20" s="1" t="s">
        <v>307</v>
      </c>
      <c r="M20" s="5">
        <f t="shared" ref="M20" si="36">SUBSTITUTE(SUBSTITUTE(L20,"K","e3"),"M","e6")*1</f>
        <v>1200000</v>
      </c>
      <c r="N20" s="1" t="s">
        <v>240</v>
      </c>
      <c r="O20" s="5">
        <f t="shared" ref="O20" si="37">SUBSTITUTE(SUBSTITUTE(N20,"K","e3"),"M","e6")*1</f>
        <v>2000</v>
      </c>
    </row>
    <row r="21" spans="1:15" x14ac:dyDescent="0.35">
      <c r="A21" s="1" t="s">
        <v>79</v>
      </c>
      <c r="B21" s="1" t="s">
        <v>10</v>
      </c>
      <c r="C21" s="1" t="s">
        <v>305</v>
      </c>
      <c r="D21" s="1" t="s">
        <v>80</v>
      </c>
      <c r="E21" s="1" t="s">
        <v>81</v>
      </c>
      <c r="F21" s="5">
        <f t="shared" si="0"/>
        <v>210820000</v>
      </c>
      <c r="G21" s="4">
        <v>0</v>
      </c>
      <c r="H21" s="5">
        <f t="shared" si="1"/>
        <v>0</v>
      </c>
      <c r="I21" s="1" t="s">
        <v>82</v>
      </c>
      <c r="J21" s="5">
        <f t="shared" si="1"/>
        <v>1500</v>
      </c>
      <c r="K21" s="2">
        <v>3.0000000000000001E-3</v>
      </c>
      <c r="L21" s="1" t="s">
        <v>304</v>
      </c>
      <c r="M21" s="5">
        <f t="shared" ref="M21" si="38">SUBSTITUTE(SUBSTITUTE(L21,"K","e3"),"M","e6")*1</f>
        <v>633000</v>
      </c>
      <c r="N21" s="1" t="s">
        <v>303</v>
      </c>
      <c r="O21" s="5">
        <f t="shared" ref="O21" si="39">SUBSTITUTE(SUBSTITUTE(N21,"K","e3"),"M","e6")*1</f>
        <v>6900</v>
      </c>
    </row>
    <row r="22" spans="1:15" x14ac:dyDescent="0.35">
      <c r="A22" s="1" t="s">
        <v>83</v>
      </c>
      <c r="B22" s="1" t="s">
        <v>10</v>
      </c>
      <c r="C22" s="1" t="s">
        <v>301</v>
      </c>
      <c r="D22" s="1" t="s">
        <v>84</v>
      </c>
      <c r="E22" s="1" t="s">
        <v>85</v>
      </c>
      <c r="F22" s="5">
        <f t="shared" si="0"/>
        <v>201480000</v>
      </c>
      <c r="G22" s="4">
        <v>836</v>
      </c>
      <c r="H22" s="5">
        <f t="shared" si="1"/>
        <v>836</v>
      </c>
      <c r="I22" s="1" t="s">
        <v>86</v>
      </c>
      <c r="J22" s="5">
        <f t="shared" si="1"/>
        <v>2690</v>
      </c>
      <c r="K22" s="2">
        <v>1.1000000000000001E-3</v>
      </c>
      <c r="L22" s="1" t="s">
        <v>220</v>
      </c>
      <c r="M22" s="5">
        <f t="shared" ref="M22" si="40">SUBSTITUTE(SUBSTITUTE(L22,"K","e3"),"M","e6")*1</f>
        <v>210000</v>
      </c>
      <c r="N22" s="1" t="s">
        <v>302</v>
      </c>
      <c r="O22" s="5">
        <f t="shared" ref="O22" si="41">SUBSTITUTE(SUBSTITUTE(N22,"K","e3"),"M","e6")*1</f>
        <v>2600</v>
      </c>
    </row>
    <row r="23" spans="1:15" x14ac:dyDescent="0.35">
      <c r="A23" s="1" t="s">
        <v>87</v>
      </c>
      <c r="B23" s="1" t="s">
        <v>1</v>
      </c>
      <c r="C23" s="1" t="s">
        <v>300</v>
      </c>
      <c r="D23" s="1" t="s">
        <v>88</v>
      </c>
      <c r="E23" s="1" t="s">
        <v>89</v>
      </c>
      <c r="F23" s="5">
        <f t="shared" si="0"/>
        <v>181050000</v>
      </c>
      <c r="G23" s="4">
        <v>65</v>
      </c>
      <c r="H23" s="5">
        <f t="shared" si="1"/>
        <v>65</v>
      </c>
      <c r="I23" s="1" t="s">
        <v>90</v>
      </c>
      <c r="J23" s="5">
        <f t="shared" si="1"/>
        <v>19190</v>
      </c>
      <c r="K23" s="2">
        <v>1.5E-3</v>
      </c>
      <c r="L23" s="1" t="s">
        <v>299</v>
      </c>
      <c r="M23" s="5">
        <f t="shared" ref="M23" si="42">SUBSTITUTE(SUBSTITUTE(L23,"K","e3"),"M","e6")*1</f>
        <v>306000</v>
      </c>
      <c r="N23" s="1" t="s">
        <v>254</v>
      </c>
      <c r="O23" s="5">
        <f t="shared" ref="O23" si="43">SUBSTITUTE(SUBSTITUTE(N23,"K","e3"),"M","e6")*1</f>
        <v>2500</v>
      </c>
    </row>
    <row r="24" spans="1:15" x14ac:dyDescent="0.35">
      <c r="A24" s="1" t="s">
        <v>91</v>
      </c>
      <c r="B24" s="1" t="s">
        <v>92</v>
      </c>
      <c r="C24" s="1" t="s">
        <v>296</v>
      </c>
      <c r="D24" s="1" t="s">
        <v>93</v>
      </c>
      <c r="E24" s="1" t="s">
        <v>94</v>
      </c>
      <c r="F24" s="5">
        <f t="shared" si="0"/>
        <v>176130000</v>
      </c>
      <c r="G24" s="1" t="s">
        <v>95</v>
      </c>
      <c r="H24" s="5">
        <f t="shared" si="1"/>
        <v>1250</v>
      </c>
      <c r="I24" s="1" t="s">
        <v>96</v>
      </c>
      <c r="J24" s="5">
        <f t="shared" si="1"/>
        <v>9780</v>
      </c>
      <c r="K24" s="2">
        <v>8.0000000000000004E-4</v>
      </c>
      <c r="L24" s="1" t="s">
        <v>297</v>
      </c>
      <c r="M24" s="5">
        <f t="shared" ref="M24" si="44">SUBSTITUTE(SUBSTITUTE(L24,"K","e3"),"M","e6")*1</f>
        <v>142000</v>
      </c>
      <c r="N24" s="1" t="s">
        <v>298</v>
      </c>
      <c r="O24" s="5">
        <f t="shared" ref="O24" si="45">SUBSTITUTE(SUBSTITUTE(N24,"K","e3"),"M","e6")*1</f>
        <v>1000</v>
      </c>
    </row>
    <row r="25" spans="1:15" x14ac:dyDescent="0.35">
      <c r="A25" s="1" t="s">
        <v>97</v>
      </c>
      <c r="B25" s="1" t="s">
        <v>10</v>
      </c>
      <c r="C25" s="1" t="s">
        <v>295</v>
      </c>
      <c r="D25" s="1" t="s">
        <v>98</v>
      </c>
      <c r="E25" s="1" t="s">
        <v>99</v>
      </c>
      <c r="F25" s="5">
        <f t="shared" si="0"/>
        <v>175850000</v>
      </c>
      <c r="G25" s="4">
        <v>0</v>
      </c>
      <c r="H25" s="5">
        <f t="shared" si="1"/>
        <v>0</v>
      </c>
      <c r="I25" s="1" t="s">
        <v>100</v>
      </c>
      <c r="J25" s="5">
        <f t="shared" si="1"/>
        <v>3500</v>
      </c>
      <c r="K25" s="2">
        <v>2.3699999999999999E-2</v>
      </c>
      <c r="L25" s="1" t="s">
        <v>294</v>
      </c>
      <c r="M25" s="5">
        <f t="shared" ref="M25" si="46">SUBSTITUTE(SUBSTITUTE(L25,"K","e3"),"M","e6")*1</f>
        <v>3800000</v>
      </c>
      <c r="N25" s="1" t="s">
        <v>226</v>
      </c>
      <c r="O25" s="5">
        <f t="shared" ref="O25" si="47">SUBSTITUTE(SUBSTITUTE(N25,"K","e3"),"M","e6")*1</f>
        <v>12000</v>
      </c>
    </row>
    <row r="26" spans="1:15" x14ac:dyDescent="0.35">
      <c r="A26" s="1" t="s">
        <v>101</v>
      </c>
      <c r="B26" s="1" t="s">
        <v>10</v>
      </c>
      <c r="C26" s="1" t="s">
        <v>291</v>
      </c>
      <c r="D26" s="1" t="s">
        <v>102</v>
      </c>
      <c r="E26" s="1" t="s">
        <v>103</v>
      </c>
      <c r="F26" s="5">
        <f t="shared" si="0"/>
        <v>164200000</v>
      </c>
      <c r="G26" s="1" t="s">
        <v>104</v>
      </c>
      <c r="H26" s="5">
        <f t="shared" si="1"/>
        <v>3490</v>
      </c>
      <c r="I26" s="1" t="s">
        <v>105</v>
      </c>
      <c r="J26" s="5">
        <f t="shared" si="1"/>
        <v>1900</v>
      </c>
      <c r="K26" s="2">
        <v>1.09E-2</v>
      </c>
      <c r="L26" s="1" t="s">
        <v>292</v>
      </c>
      <c r="M26" s="5">
        <f t="shared" ref="M26" si="48">SUBSTITUTE(SUBSTITUTE(L26,"K","e3"),"M","e6")*1</f>
        <v>1800000</v>
      </c>
      <c r="N26" s="1" t="s">
        <v>293</v>
      </c>
      <c r="O26" s="5">
        <f t="shared" ref="O26" si="49">SUBSTITUTE(SUBSTITUTE(N26,"K","e3"),"M","e6")*1</f>
        <v>25000</v>
      </c>
    </row>
    <row r="27" spans="1:15" x14ac:dyDescent="0.35">
      <c r="A27" s="1" t="s">
        <v>106</v>
      </c>
      <c r="B27" s="1" t="s">
        <v>10</v>
      </c>
      <c r="C27" s="1" t="s">
        <v>290</v>
      </c>
      <c r="D27" s="1" t="s">
        <v>107</v>
      </c>
      <c r="E27" s="1" t="s">
        <v>108</v>
      </c>
      <c r="F27" s="5">
        <f t="shared" si="0"/>
        <v>157550000</v>
      </c>
      <c r="G27" s="4">
        <v>455</v>
      </c>
      <c r="H27" s="5">
        <f t="shared" si="1"/>
        <v>455</v>
      </c>
      <c r="I27" s="1" t="s">
        <v>109</v>
      </c>
      <c r="J27" s="5">
        <f t="shared" si="1"/>
        <v>2850</v>
      </c>
      <c r="K27" s="2">
        <v>2.3999999999999998E-3</v>
      </c>
      <c r="L27" s="1" t="s">
        <v>289</v>
      </c>
      <c r="M27" s="5">
        <f t="shared" ref="M27" si="50">SUBSTITUTE(SUBSTITUTE(L27,"K","e3"),"M","e6")*1</f>
        <v>379000</v>
      </c>
      <c r="N27" s="1" t="s">
        <v>288</v>
      </c>
      <c r="O27" s="5">
        <f t="shared" ref="O27" si="51">SUBSTITUTE(SUBSTITUTE(N27,"K","e3"),"M","e6")*1</f>
        <v>4200</v>
      </c>
    </row>
    <row r="28" spans="1:15" x14ac:dyDescent="0.35">
      <c r="A28" s="1" t="s">
        <v>110</v>
      </c>
      <c r="B28" s="1" t="s">
        <v>10</v>
      </c>
      <c r="C28" s="1" t="s">
        <v>285</v>
      </c>
      <c r="D28" s="1" t="s">
        <v>111</v>
      </c>
      <c r="E28" s="1" t="s">
        <v>112</v>
      </c>
      <c r="F28" s="5">
        <f t="shared" si="0"/>
        <v>152440000</v>
      </c>
      <c r="G28" s="4">
        <v>848</v>
      </c>
      <c r="H28" s="5">
        <f t="shared" si="1"/>
        <v>848</v>
      </c>
      <c r="I28" s="4">
        <v>70</v>
      </c>
      <c r="J28" s="5">
        <f t="shared" si="1"/>
        <v>70</v>
      </c>
      <c r="K28" s="2">
        <v>2E-3</v>
      </c>
      <c r="L28" s="1" t="s">
        <v>287</v>
      </c>
      <c r="M28" s="5">
        <f t="shared" ref="M28" si="52">SUBSTITUTE(SUBSTITUTE(L28,"K","e3"),"M","e6")*1</f>
        <v>298000</v>
      </c>
      <c r="N28" s="1" t="s">
        <v>286</v>
      </c>
      <c r="O28" s="5">
        <f t="shared" ref="O28" si="53">SUBSTITUTE(SUBSTITUTE(N28,"K","e3"),"M","e6")*1</f>
        <v>2900</v>
      </c>
    </row>
    <row r="29" spans="1:15" x14ac:dyDescent="0.35">
      <c r="A29" s="1" t="s">
        <v>113</v>
      </c>
      <c r="B29" s="1" t="s">
        <v>10</v>
      </c>
      <c r="C29" s="1" t="s">
        <v>114</v>
      </c>
      <c r="D29" s="1" t="s">
        <v>114</v>
      </c>
      <c r="E29" s="1" t="s">
        <v>115</v>
      </c>
      <c r="F29" s="5">
        <f t="shared" si="0"/>
        <v>149280000</v>
      </c>
      <c r="G29" s="1" t="s">
        <v>116</v>
      </c>
      <c r="H29" s="5">
        <f t="shared" si="1"/>
        <v>1690</v>
      </c>
      <c r="I29" s="1" t="s">
        <v>117</v>
      </c>
      <c r="J29" s="5">
        <f t="shared" si="1"/>
        <v>5020</v>
      </c>
      <c r="K29" s="2">
        <v>1.6E-2</v>
      </c>
      <c r="L29" s="1" t="s">
        <v>258</v>
      </c>
      <c r="M29" s="5">
        <f t="shared" ref="M29" si="54">SUBSTITUTE(SUBSTITUTE(L29,"K","e3"),"M","e6")*1</f>
        <v>2400000</v>
      </c>
      <c r="N29" s="1" t="s">
        <v>284</v>
      </c>
      <c r="O29" s="5">
        <f t="shared" ref="O29" si="55">SUBSTITUTE(SUBSTITUTE(N29,"K","e3"),"M","e6")*1</f>
        <v>29000</v>
      </c>
    </row>
    <row r="30" spans="1:15" x14ac:dyDescent="0.35">
      <c r="A30" s="1" t="s">
        <v>118</v>
      </c>
      <c r="B30" s="1" t="s">
        <v>119</v>
      </c>
      <c r="C30" s="1" t="s">
        <v>282</v>
      </c>
      <c r="D30" s="1" t="s">
        <v>120</v>
      </c>
      <c r="E30" s="1" t="s">
        <v>121</v>
      </c>
      <c r="F30" s="5">
        <f t="shared" si="0"/>
        <v>146730000</v>
      </c>
      <c r="G30" s="4">
        <v>106</v>
      </c>
      <c r="H30" s="5">
        <f t="shared" si="1"/>
        <v>106</v>
      </c>
      <c r="I30" s="1" t="s">
        <v>122</v>
      </c>
      <c r="J30" s="5">
        <f t="shared" si="1"/>
        <v>26390</v>
      </c>
      <c r="K30" s="2">
        <v>3.3E-3</v>
      </c>
      <c r="L30" s="1" t="s">
        <v>215</v>
      </c>
      <c r="M30" s="5">
        <f t="shared" ref="M30" si="56">SUBSTITUTE(SUBSTITUTE(L30,"K","e3"),"M","e6")*1</f>
        <v>526000</v>
      </c>
      <c r="N30" s="1" t="s">
        <v>283</v>
      </c>
      <c r="O30" s="5">
        <f t="shared" ref="O30" si="57">SUBSTITUTE(SUBSTITUTE(N30,"K","e3"),"M","e6")*1</f>
        <v>1600</v>
      </c>
    </row>
    <row r="31" spans="1:15" x14ac:dyDescent="0.35">
      <c r="A31" s="1" t="s">
        <v>123</v>
      </c>
      <c r="B31" s="1" t="s">
        <v>10</v>
      </c>
      <c r="C31" s="1" t="s">
        <v>281</v>
      </c>
      <c r="D31" s="1" t="s">
        <v>124</v>
      </c>
      <c r="E31" s="1" t="s">
        <v>125</v>
      </c>
      <c r="F31" s="5">
        <f t="shared" si="0"/>
        <v>143830000</v>
      </c>
      <c r="G31" s="4">
        <v>2</v>
      </c>
      <c r="H31" s="5">
        <f t="shared" si="1"/>
        <v>2</v>
      </c>
      <c r="I31" s="1" t="s">
        <v>126</v>
      </c>
      <c r="J31" s="5">
        <f t="shared" si="1"/>
        <v>7910</v>
      </c>
      <c r="K31" s="2">
        <v>3.5000000000000001E-3</v>
      </c>
      <c r="L31" s="1" t="s">
        <v>280</v>
      </c>
      <c r="M31" s="5">
        <f t="shared" ref="M31" si="58">SUBSTITUTE(SUBSTITUTE(L31,"K","e3"),"M","e6")*1</f>
        <v>498000</v>
      </c>
      <c r="N31" s="1" t="s">
        <v>225</v>
      </c>
      <c r="O31" s="5">
        <f t="shared" ref="O31" si="59">SUBSTITUTE(SUBSTITUTE(N31,"K","e3"),"M","e6")*1</f>
        <v>10000</v>
      </c>
    </row>
    <row r="32" spans="1:15" x14ac:dyDescent="0.35">
      <c r="A32" s="1" t="s">
        <v>127</v>
      </c>
      <c r="B32" s="1" t="s">
        <v>10</v>
      </c>
      <c r="C32" s="1" t="s">
        <v>128</v>
      </c>
      <c r="D32" s="1" t="s">
        <v>128</v>
      </c>
      <c r="E32" s="1" t="s">
        <v>129</v>
      </c>
      <c r="F32" s="5">
        <f t="shared" si="0"/>
        <v>141900000</v>
      </c>
      <c r="G32" s="1" t="s">
        <v>130</v>
      </c>
      <c r="H32" s="5">
        <f t="shared" si="1"/>
        <v>3550</v>
      </c>
      <c r="I32" s="4">
        <v>670</v>
      </c>
      <c r="J32" s="5">
        <f t="shared" si="1"/>
        <v>670</v>
      </c>
      <c r="K32" s="2">
        <v>7.9000000000000008E-3</v>
      </c>
      <c r="L32" s="1" t="s">
        <v>278</v>
      </c>
      <c r="M32" s="5">
        <f t="shared" ref="M32" si="60">SUBSTITUTE(SUBSTITUTE(L32,"K","e3"),"M","e6")*1</f>
        <v>1100000</v>
      </c>
      <c r="N32" s="1" t="s">
        <v>279</v>
      </c>
      <c r="O32" s="5">
        <f t="shared" ref="O32" si="61">SUBSTITUTE(SUBSTITUTE(N32,"K","e3"),"M","e6")*1</f>
        <v>9200</v>
      </c>
    </row>
    <row r="33" spans="1:15" x14ac:dyDescent="0.35">
      <c r="A33" s="1" t="s">
        <v>131</v>
      </c>
      <c r="B33" s="1" t="s">
        <v>10</v>
      </c>
      <c r="C33" s="1" t="s">
        <v>277</v>
      </c>
      <c r="D33" s="1" t="s">
        <v>132</v>
      </c>
      <c r="E33" s="1" t="s">
        <v>133</v>
      </c>
      <c r="F33" s="5">
        <f t="shared" si="0"/>
        <v>134350000</v>
      </c>
      <c r="G33" s="4">
        <v>443</v>
      </c>
      <c r="H33" s="5">
        <f t="shared" si="1"/>
        <v>443</v>
      </c>
      <c r="I33" s="1" t="s">
        <v>134</v>
      </c>
      <c r="J33" s="5">
        <f t="shared" si="1"/>
        <v>12140</v>
      </c>
      <c r="K33" s="2">
        <v>5.9999999999999995E-4</v>
      </c>
      <c r="L33" s="1" t="s">
        <v>276</v>
      </c>
      <c r="M33" s="5" t="e">
        <f t="shared" ref="M33" si="62">SUBSTITUTE(SUBSTITUTE(L33,"K","e3"),"M","e6")*1</f>
        <v>#VALUE!</v>
      </c>
      <c r="N33" s="1" t="s">
        <v>275</v>
      </c>
      <c r="O33" s="5">
        <f t="shared" ref="O33" si="63">SUBSTITUTE(SUBSTITUTE(N33,"K","e3"),"M","e6")*1</f>
        <v>3600</v>
      </c>
    </row>
    <row r="34" spans="1:15" x14ac:dyDescent="0.35">
      <c r="A34" s="1" t="s">
        <v>135</v>
      </c>
      <c r="B34" s="1" t="s">
        <v>1</v>
      </c>
      <c r="C34" s="1" t="s">
        <v>273</v>
      </c>
      <c r="D34" s="1" t="s">
        <v>136</v>
      </c>
      <c r="E34" s="1" t="s">
        <v>137</v>
      </c>
      <c r="F34" s="5">
        <f t="shared" si="0"/>
        <v>130030000</v>
      </c>
      <c r="G34" s="4">
        <v>495</v>
      </c>
      <c r="H34" s="5">
        <f t="shared" si="1"/>
        <v>495</v>
      </c>
      <c r="I34" s="1" t="s">
        <v>138</v>
      </c>
      <c r="J34" s="5">
        <f t="shared" si="1"/>
        <v>1440</v>
      </c>
      <c r="K34" s="2">
        <v>2.5999999999999999E-2</v>
      </c>
      <c r="L34" s="1" t="s">
        <v>221</v>
      </c>
      <c r="M34" s="5">
        <f t="shared" ref="M34" si="64">SUBSTITUTE(SUBSTITUTE(L34,"K","e3"),"M","e6")*1</f>
        <v>3300000</v>
      </c>
      <c r="N34" s="1" t="s">
        <v>274</v>
      </c>
      <c r="O34" s="5">
        <f t="shared" ref="O34" si="65">SUBSTITUTE(SUBSTITUTE(N34,"K","e3"),"M","e6")*1</f>
        <v>36000</v>
      </c>
    </row>
    <row r="35" spans="1:15" x14ac:dyDescent="0.35">
      <c r="A35" s="1" t="s">
        <v>139</v>
      </c>
      <c r="B35" s="1" t="s">
        <v>1</v>
      </c>
      <c r="C35" s="1" t="s">
        <v>272</v>
      </c>
      <c r="D35" s="1" t="s">
        <v>140</v>
      </c>
      <c r="E35" s="1" t="s">
        <v>141</v>
      </c>
      <c r="F35" s="5">
        <f t="shared" si="0"/>
        <v>125130000</v>
      </c>
      <c r="G35" s="4">
        <v>0</v>
      </c>
      <c r="H35" s="5">
        <f t="shared" si="1"/>
        <v>0</v>
      </c>
      <c r="I35" s="1" t="s">
        <v>142</v>
      </c>
      <c r="J35" s="5">
        <f t="shared" si="1"/>
        <v>1030</v>
      </c>
      <c r="K35" s="2">
        <v>2.6800000000000001E-2</v>
      </c>
      <c r="L35" s="1" t="s">
        <v>221</v>
      </c>
      <c r="M35" s="5">
        <f t="shared" ref="M35" si="66">SUBSTITUTE(SUBSTITUTE(L35,"K","e3"),"M","e6")*1</f>
        <v>3300000</v>
      </c>
      <c r="N35" s="1" t="s">
        <v>227</v>
      </c>
      <c r="O35" s="5">
        <f t="shared" ref="O35" si="67">SUBSTITUTE(SUBSTITUTE(N35,"K","e3"),"M","e6")*1</f>
        <v>17000</v>
      </c>
    </row>
    <row r="36" spans="1:15" x14ac:dyDescent="0.35">
      <c r="A36" s="1" t="s">
        <v>143</v>
      </c>
      <c r="B36" s="1" t="s">
        <v>10</v>
      </c>
      <c r="C36" s="1" t="s">
        <v>270</v>
      </c>
      <c r="D36" s="1" t="s">
        <v>144</v>
      </c>
      <c r="E36" s="1" t="s">
        <v>145</v>
      </c>
      <c r="F36" s="5">
        <f t="shared" si="0"/>
        <v>121110000</v>
      </c>
      <c r="G36" s="4">
        <v>517</v>
      </c>
      <c r="H36" s="5">
        <f t="shared" si="1"/>
        <v>517</v>
      </c>
      <c r="I36" s="1" t="s">
        <v>146</v>
      </c>
      <c r="J36" s="5">
        <f t="shared" si="1"/>
        <v>29220</v>
      </c>
      <c r="K36" s="2">
        <v>1.6000000000000001E-3</v>
      </c>
      <c r="L36" s="1" t="s">
        <v>271</v>
      </c>
      <c r="M36" s="5">
        <f t="shared" ref="M36" si="68">SUBSTITUTE(SUBSTITUTE(L36,"K","e3"),"M","e6")*1</f>
        <v>195000</v>
      </c>
      <c r="N36" s="1">
        <v>717</v>
      </c>
      <c r="O36" s="5">
        <f t="shared" ref="O36" si="69">SUBSTITUTE(SUBSTITUTE(N36,"K","e3"),"M","e6")*1</f>
        <v>717</v>
      </c>
    </row>
    <row r="37" spans="1:15" x14ac:dyDescent="0.35">
      <c r="A37" s="1" t="s">
        <v>147</v>
      </c>
      <c r="B37" s="1" t="s">
        <v>10</v>
      </c>
      <c r="C37" s="1" t="s">
        <v>269</v>
      </c>
      <c r="D37" s="1" t="s">
        <v>148</v>
      </c>
      <c r="E37" s="1" t="s">
        <v>149</v>
      </c>
      <c r="F37" s="5">
        <f t="shared" si="0"/>
        <v>106410000</v>
      </c>
      <c r="G37" s="1" t="s">
        <v>150</v>
      </c>
      <c r="H37" s="5">
        <f t="shared" si="1"/>
        <v>1330</v>
      </c>
      <c r="I37" s="1" t="s">
        <v>151</v>
      </c>
      <c r="J37" s="5">
        <f t="shared" si="1"/>
        <v>1910</v>
      </c>
      <c r="K37" s="2">
        <v>3.0000000000000001E-3</v>
      </c>
      <c r="L37" s="1" t="s">
        <v>268</v>
      </c>
      <c r="M37" s="5">
        <f t="shared" ref="M37" si="70">SUBSTITUTE(SUBSTITUTE(L37,"K","e3"),"M","e6")*1</f>
        <v>316000</v>
      </c>
      <c r="N37" s="1">
        <v>21</v>
      </c>
      <c r="O37" s="5">
        <f t="shared" ref="O37" si="71">SUBSTITUTE(SUBSTITUTE(N37,"K","e3"),"M","e6")*1</f>
        <v>21</v>
      </c>
    </row>
    <row r="38" spans="1:15" x14ac:dyDescent="0.35">
      <c r="A38" s="1" t="s">
        <v>152</v>
      </c>
      <c r="B38" s="1" t="s">
        <v>92</v>
      </c>
      <c r="C38" s="1" t="s">
        <v>265</v>
      </c>
      <c r="D38" s="1" t="s">
        <v>153</v>
      </c>
      <c r="E38" s="1" t="s">
        <v>154</v>
      </c>
      <c r="F38" s="5">
        <f t="shared" si="0"/>
        <v>105210000</v>
      </c>
      <c r="G38" s="4">
        <v>88</v>
      </c>
      <c r="H38" s="5">
        <f t="shared" si="1"/>
        <v>88</v>
      </c>
      <c r="I38" s="1" t="s">
        <v>155</v>
      </c>
      <c r="J38" s="5">
        <f t="shared" si="1"/>
        <v>2200</v>
      </c>
      <c r="K38" s="2">
        <v>7.6E-3</v>
      </c>
      <c r="L38" s="1" t="s">
        <v>266</v>
      </c>
      <c r="M38" s="5">
        <f t="shared" ref="M38" si="72">SUBSTITUTE(SUBSTITUTE(L38,"K","e3"),"M","e6")*1</f>
        <v>802000</v>
      </c>
      <c r="N38" s="1" t="s">
        <v>267</v>
      </c>
      <c r="O38" s="5">
        <f t="shared" ref="O38" si="73">SUBSTITUTE(SUBSTITUTE(N38,"K","e3"),"M","e6")*1</f>
        <v>4400</v>
      </c>
    </row>
    <row r="39" spans="1:15" x14ac:dyDescent="0.35">
      <c r="A39" s="1" t="s">
        <v>156</v>
      </c>
      <c r="B39" s="1" t="s">
        <v>1</v>
      </c>
      <c r="C39" s="1" t="s">
        <v>264</v>
      </c>
      <c r="D39" s="1" t="s">
        <v>157</v>
      </c>
      <c r="E39" s="1" t="s">
        <v>158</v>
      </c>
      <c r="F39" s="5">
        <f t="shared" si="0"/>
        <v>99640000</v>
      </c>
      <c r="G39" s="4">
        <v>0</v>
      </c>
      <c r="H39" s="5">
        <f t="shared" si="1"/>
        <v>0</v>
      </c>
      <c r="I39" s="1" t="s">
        <v>159</v>
      </c>
      <c r="J39" s="5">
        <f t="shared" si="1"/>
        <v>1160</v>
      </c>
      <c r="K39" s="2">
        <v>8.3999999999999995E-3</v>
      </c>
      <c r="L39" s="1" t="s">
        <v>263</v>
      </c>
      <c r="M39" s="5">
        <f t="shared" ref="M39" si="74">SUBSTITUTE(SUBSTITUTE(L39,"K","e3"),"M","e6")*1</f>
        <v>869000</v>
      </c>
      <c r="N39" s="1" t="s">
        <v>218</v>
      </c>
      <c r="O39" s="5">
        <f t="shared" ref="O39" si="75">SUBSTITUTE(SUBSTITUTE(N39,"K","e3"),"M","e6")*1</f>
        <v>11000</v>
      </c>
    </row>
    <row r="40" spans="1:15" x14ac:dyDescent="0.35">
      <c r="A40" s="1" t="s">
        <v>160</v>
      </c>
      <c r="B40" s="1" t="s">
        <v>1</v>
      </c>
      <c r="C40" s="1" t="s">
        <v>260</v>
      </c>
      <c r="D40" s="1" t="s">
        <v>161</v>
      </c>
      <c r="E40" s="1" t="s">
        <v>162</v>
      </c>
      <c r="F40" s="5">
        <f t="shared" si="0"/>
        <v>98540000</v>
      </c>
      <c r="G40" s="4">
        <v>92</v>
      </c>
      <c r="H40" s="5">
        <f t="shared" si="1"/>
        <v>92</v>
      </c>
      <c r="I40" s="1" t="s">
        <v>163</v>
      </c>
      <c r="J40" s="5">
        <f t="shared" si="1"/>
        <v>4600</v>
      </c>
      <c r="K40" s="2">
        <v>3.0999999999999999E-3</v>
      </c>
      <c r="L40" s="1" t="s">
        <v>261</v>
      </c>
      <c r="M40" s="5">
        <f t="shared" ref="M40" si="76">SUBSTITUTE(SUBSTITUTE(L40,"K","e3"),"M","e6")*1</f>
        <v>314000</v>
      </c>
      <c r="N40" s="1" t="s">
        <v>262</v>
      </c>
      <c r="O40" s="5">
        <f t="shared" ref="O40" si="77">SUBSTITUTE(SUBSTITUTE(N40,"K","e3"),"M","e6")*1</f>
        <v>1400</v>
      </c>
    </row>
    <row r="41" spans="1:15" x14ac:dyDescent="0.35">
      <c r="A41" s="1" t="s">
        <v>164</v>
      </c>
      <c r="B41" s="1" t="s">
        <v>61</v>
      </c>
      <c r="C41" s="1" t="s">
        <v>259</v>
      </c>
      <c r="D41" s="1" t="s">
        <v>165</v>
      </c>
      <c r="E41" s="1" t="s">
        <v>166</v>
      </c>
      <c r="F41" s="5">
        <f t="shared" si="0"/>
        <v>95710000</v>
      </c>
      <c r="G41" s="4">
        <v>199</v>
      </c>
      <c r="H41" s="5">
        <f t="shared" si="1"/>
        <v>199</v>
      </c>
      <c r="I41" s="1" t="s">
        <v>167</v>
      </c>
      <c r="J41" s="5">
        <f t="shared" si="1"/>
        <v>2590</v>
      </c>
      <c r="K41" s="2">
        <v>1.35E-2</v>
      </c>
      <c r="L41" s="1" t="s">
        <v>230</v>
      </c>
      <c r="M41" s="5">
        <f t="shared" ref="M41" si="78">SUBSTITUTE(SUBSTITUTE(L41,"K","e3"),"M","e6")*1</f>
        <v>1300000</v>
      </c>
      <c r="N41" s="1" t="s">
        <v>227</v>
      </c>
      <c r="O41" s="5">
        <f t="shared" ref="O41" si="79">SUBSTITUTE(SUBSTITUTE(N41,"K","e3"),"M","e6")*1</f>
        <v>17000</v>
      </c>
    </row>
    <row r="42" spans="1:15" x14ac:dyDescent="0.35">
      <c r="A42" s="1" t="s">
        <v>168</v>
      </c>
      <c r="B42" s="1" t="s">
        <v>10</v>
      </c>
      <c r="C42" s="1" t="s">
        <v>257</v>
      </c>
      <c r="D42" s="1" t="s">
        <v>169</v>
      </c>
      <c r="E42" s="1" t="s">
        <v>170</v>
      </c>
      <c r="F42" s="5">
        <f t="shared" si="0"/>
        <v>94960000</v>
      </c>
      <c r="G42" s="4">
        <v>893</v>
      </c>
      <c r="H42" s="5">
        <f t="shared" si="1"/>
        <v>893</v>
      </c>
      <c r="I42" s="1" t="s">
        <v>155</v>
      </c>
      <c r="J42" s="5">
        <f t="shared" si="1"/>
        <v>2200</v>
      </c>
      <c r="K42" s="2">
        <v>2.5100000000000001E-2</v>
      </c>
      <c r="L42" s="1" t="s">
        <v>258</v>
      </c>
      <c r="M42" s="5">
        <f t="shared" ref="M42" si="80">SUBSTITUTE(SUBSTITUTE(L42,"K","e3"),"M","e6")*1</f>
        <v>2400000</v>
      </c>
      <c r="N42" s="1" t="s">
        <v>228</v>
      </c>
      <c r="O42" s="5">
        <f t="shared" ref="O42" si="81">SUBSTITUTE(SUBSTITUTE(N42,"K","e3"),"M","e6")*1</f>
        <v>20000</v>
      </c>
    </row>
    <row r="43" spans="1:15" x14ac:dyDescent="0.35">
      <c r="A43" s="1" t="s">
        <v>171</v>
      </c>
      <c r="B43" s="1" t="s">
        <v>1</v>
      </c>
      <c r="C43" s="1" t="s">
        <v>256</v>
      </c>
      <c r="D43" s="1" t="s">
        <v>172</v>
      </c>
      <c r="E43" s="1" t="s">
        <v>173</v>
      </c>
      <c r="F43" s="5">
        <f t="shared" si="0"/>
        <v>94140000</v>
      </c>
      <c r="G43" s="4">
        <v>627</v>
      </c>
      <c r="H43" s="5">
        <f t="shared" si="1"/>
        <v>627</v>
      </c>
      <c r="I43" s="1" t="s">
        <v>8</v>
      </c>
      <c r="J43" s="5">
        <f t="shared" si="1"/>
        <v>4010</v>
      </c>
      <c r="K43" s="2">
        <v>5.7000000000000002E-3</v>
      </c>
      <c r="L43" s="1" t="s">
        <v>255</v>
      </c>
      <c r="M43" s="5">
        <f t="shared" ref="M43" si="82">SUBSTITUTE(SUBSTITUTE(L43,"K","e3"),"M","e6")*1</f>
        <v>538000</v>
      </c>
      <c r="N43" s="1" t="s">
        <v>254</v>
      </c>
      <c r="O43" s="5">
        <f t="shared" ref="O43" si="83">SUBSTITUTE(SUBSTITUTE(N43,"K","e3"),"M","e6")*1</f>
        <v>2500</v>
      </c>
    </row>
    <row r="44" spans="1:15" x14ac:dyDescent="0.35">
      <c r="A44" s="1" t="s">
        <v>174</v>
      </c>
      <c r="B44" s="1" t="s">
        <v>10</v>
      </c>
      <c r="C44" s="1" t="s">
        <v>252</v>
      </c>
      <c r="D44" s="1" t="s">
        <v>175</v>
      </c>
      <c r="E44" s="1" t="s">
        <v>176</v>
      </c>
      <c r="F44" s="5">
        <f t="shared" si="0"/>
        <v>90200000</v>
      </c>
      <c r="G44" s="1" t="s">
        <v>177</v>
      </c>
      <c r="H44" s="5">
        <f t="shared" si="1"/>
        <v>1280</v>
      </c>
      <c r="I44" s="1" t="s">
        <v>178</v>
      </c>
      <c r="J44" s="5">
        <f t="shared" si="1"/>
        <v>97620</v>
      </c>
      <c r="K44" s="2">
        <v>2.9999999999999997E-4</v>
      </c>
      <c r="L44" s="1" t="s">
        <v>253</v>
      </c>
      <c r="M44" s="5">
        <f t="shared" ref="M44" si="84">SUBSTITUTE(SUBSTITUTE(L44,"K","e3"),"M","e6")*1</f>
        <v>41000</v>
      </c>
      <c r="N44" s="1">
        <v>336</v>
      </c>
      <c r="O44" s="5">
        <f t="shared" ref="O44" si="85">SUBSTITUTE(SUBSTITUTE(N44,"K","e3"),"M","e6")*1</f>
        <v>336</v>
      </c>
    </row>
    <row r="45" spans="1:15" x14ac:dyDescent="0.35">
      <c r="A45" s="1" t="s">
        <v>179</v>
      </c>
      <c r="B45" s="1" t="s">
        <v>1</v>
      </c>
      <c r="C45" s="1" t="s">
        <v>246</v>
      </c>
      <c r="D45" s="1" t="s">
        <v>180</v>
      </c>
      <c r="E45" s="1" t="s">
        <v>181</v>
      </c>
      <c r="F45" s="5">
        <f t="shared" si="0"/>
        <v>89380000</v>
      </c>
      <c r="G45" s="4">
        <v>0</v>
      </c>
      <c r="H45" s="5">
        <f t="shared" si="1"/>
        <v>0</v>
      </c>
      <c r="I45" s="1" t="s">
        <v>182</v>
      </c>
      <c r="J45" s="5">
        <f t="shared" si="1"/>
        <v>1350</v>
      </c>
      <c r="K45" s="2">
        <v>4.3900000000000002E-2</v>
      </c>
      <c r="L45" s="1" t="s">
        <v>223</v>
      </c>
      <c r="M45" s="5">
        <f t="shared" ref="M45" si="86">SUBSTITUTE(SUBSTITUTE(L45,"K","e3"),"M","e6")*1</f>
        <v>4000000</v>
      </c>
      <c r="N45" s="1" t="s">
        <v>234</v>
      </c>
      <c r="O45" s="5">
        <f t="shared" ref="O45" si="87">SUBSTITUTE(SUBSTITUTE(N45,"K","e3"),"M","e6")*1</f>
        <v>24000</v>
      </c>
    </row>
    <row r="46" spans="1:15" x14ac:dyDescent="0.35">
      <c r="A46" s="1" t="s">
        <v>183</v>
      </c>
      <c r="B46" s="1" t="s">
        <v>10</v>
      </c>
      <c r="C46" s="1" t="s">
        <v>251</v>
      </c>
      <c r="D46" s="1" t="s">
        <v>184</v>
      </c>
      <c r="E46" s="1" t="s">
        <v>185</v>
      </c>
      <c r="F46" s="5">
        <f t="shared" si="0"/>
        <v>88770000</v>
      </c>
      <c r="G46" s="4">
        <v>7</v>
      </c>
      <c r="H46" s="5">
        <f t="shared" si="1"/>
        <v>7</v>
      </c>
      <c r="I46" s="4">
        <v>491</v>
      </c>
      <c r="J46" s="5">
        <f t="shared" si="1"/>
        <v>491</v>
      </c>
      <c r="K46" s="2">
        <v>1.83E-2</v>
      </c>
      <c r="L46" s="1" t="s">
        <v>238</v>
      </c>
      <c r="M46" s="5">
        <f t="shared" ref="M46" si="88">SUBSTITUTE(SUBSTITUTE(L46,"K","e3"),"M","e6")*1</f>
        <v>1600000</v>
      </c>
      <c r="N46" s="1" t="s">
        <v>243</v>
      </c>
      <c r="O46" s="5">
        <f t="shared" ref="O46" si="89">SUBSTITUTE(SUBSTITUTE(N46,"K","e3"),"M","e6")*1</f>
        <v>4800</v>
      </c>
    </row>
    <row r="47" spans="1:15" x14ac:dyDescent="0.35">
      <c r="A47" s="1" t="s">
        <v>186</v>
      </c>
      <c r="B47" s="1" t="s">
        <v>92</v>
      </c>
      <c r="C47" s="1" t="s">
        <v>250</v>
      </c>
      <c r="D47" s="1" t="s">
        <v>187</v>
      </c>
      <c r="E47" s="1" t="s">
        <v>188</v>
      </c>
      <c r="F47" s="5">
        <f t="shared" si="0"/>
        <v>88600000</v>
      </c>
      <c r="G47" s="4">
        <v>665</v>
      </c>
      <c r="H47" s="5">
        <f t="shared" si="1"/>
        <v>665</v>
      </c>
      <c r="I47" s="1" t="s">
        <v>189</v>
      </c>
      <c r="J47" s="5">
        <f t="shared" si="1"/>
        <v>2160</v>
      </c>
      <c r="K47" s="2">
        <v>7.9000000000000008E-3</v>
      </c>
      <c r="L47" s="1" t="s">
        <v>242</v>
      </c>
      <c r="M47" s="5">
        <f t="shared" ref="M47" si="90">SUBSTITUTE(SUBSTITUTE(L47,"K","e3"),"M","e6")*1</f>
        <v>700000</v>
      </c>
      <c r="N47" s="1" t="s">
        <v>241</v>
      </c>
      <c r="O47" s="5">
        <f t="shared" ref="O47" si="91">SUBSTITUTE(SUBSTITUTE(N47,"K","e3"),"M","e6")*1</f>
        <v>3800</v>
      </c>
    </row>
    <row r="48" spans="1:15" x14ac:dyDescent="0.35">
      <c r="A48" s="1" t="s">
        <v>190</v>
      </c>
      <c r="B48" s="1" t="s">
        <v>10</v>
      </c>
      <c r="C48" s="1" t="s">
        <v>191</v>
      </c>
      <c r="D48" s="1" t="s">
        <v>191</v>
      </c>
      <c r="E48" s="1" t="s">
        <v>192</v>
      </c>
      <c r="F48" s="5">
        <f t="shared" si="0"/>
        <v>88470000</v>
      </c>
      <c r="G48" s="1" t="s">
        <v>193</v>
      </c>
      <c r="H48" s="5">
        <f t="shared" si="1"/>
        <v>7480</v>
      </c>
      <c r="I48" s="1" t="s">
        <v>194</v>
      </c>
      <c r="J48" s="5">
        <f t="shared" si="1"/>
        <v>68600</v>
      </c>
      <c r="K48" s="2">
        <v>6.9999999999999999E-4</v>
      </c>
      <c r="L48" s="1" t="s">
        <v>239</v>
      </c>
      <c r="M48" s="5">
        <f t="shared" ref="M48" si="92">SUBSTITUTE(SUBSTITUTE(L48,"K","e3"),"M","e6")*1</f>
        <v>67000</v>
      </c>
      <c r="N48" s="1" t="s">
        <v>240</v>
      </c>
      <c r="O48" s="5">
        <f t="shared" ref="O48" si="93">SUBSTITUTE(SUBSTITUTE(N48,"K","e3"),"M","e6")*1</f>
        <v>2000</v>
      </c>
    </row>
    <row r="49" spans="1:15" x14ac:dyDescent="0.35">
      <c r="A49" s="1" t="s">
        <v>195</v>
      </c>
      <c r="B49" s="1" t="s">
        <v>61</v>
      </c>
      <c r="C49" s="1" t="s">
        <v>249</v>
      </c>
      <c r="D49" s="1" t="s">
        <v>196</v>
      </c>
      <c r="E49" s="1" t="s">
        <v>197</v>
      </c>
      <c r="F49" s="5">
        <f t="shared" si="0"/>
        <v>86920000</v>
      </c>
      <c r="G49" s="4">
        <v>539</v>
      </c>
      <c r="H49" s="5">
        <f t="shared" si="1"/>
        <v>539</v>
      </c>
      <c r="I49" s="1" t="s">
        <v>155</v>
      </c>
      <c r="J49" s="5">
        <f t="shared" si="1"/>
        <v>2200</v>
      </c>
      <c r="K49" s="2">
        <v>1.84E-2</v>
      </c>
      <c r="L49" s="1" t="s">
        <v>238</v>
      </c>
      <c r="M49" s="5">
        <f t="shared" ref="M49" si="94">SUBSTITUTE(SUBSTITUTE(L49,"K","e3"),"M","e6")*1</f>
        <v>1600000</v>
      </c>
      <c r="N49" s="1" t="s">
        <v>237</v>
      </c>
      <c r="O49" s="5">
        <f t="shared" ref="O49" si="95">SUBSTITUTE(SUBSTITUTE(N49,"K","e3"),"M","e6")*1</f>
        <v>2800</v>
      </c>
    </row>
    <row r="50" spans="1:15" x14ac:dyDescent="0.35">
      <c r="A50" s="1" t="s">
        <v>198</v>
      </c>
      <c r="B50" s="1" t="s">
        <v>119</v>
      </c>
      <c r="C50" s="1" t="s">
        <v>248</v>
      </c>
      <c r="D50" s="1" t="s">
        <v>199</v>
      </c>
      <c r="E50" s="1" t="s">
        <v>200</v>
      </c>
      <c r="F50" s="5">
        <f t="shared" si="0"/>
        <v>84560000</v>
      </c>
      <c r="G50" s="4">
        <v>859</v>
      </c>
      <c r="H50" s="5">
        <f t="shared" si="1"/>
        <v>859</v>
      </c>
      <c r="I50" s="4">
        <v>444</v>
      </c>
      <c r="J50" s="5">
        <f t="shared" si="1"/>
        <v>444</v>
      </c>
      <c r="K50" s="2">
        <v>1.03E-2</v>
      </c>
      <c r="L50" s="1" t="s">
        <v>235</v>
      </c>
      <c r="M50" s="5">
        <f t="shared" ref="M50" si="96">SUBSTITUTE(SUBSTITUTE(L50,"K","e3"),"M","e6")*1</f>
        <v>868000</v>
      </c>
      <c r="N50" s="2" t="s">
        <v>236</v>
      </c>
      <c r="O50" s="5">
        <f t="shared" ref="O50" si="97">SUBSTITUTE(SUBSTITUTE(N50,"K","e3"),"M","e6")*1</f>
        <v>13000</v>
      </c>
    </row>
    <row r="51" spans="1:15" x14ac:dyDescent="0.35">
      <c r="A51" s="1" t="s">
        <v>201</v>
      </c>
      <c r="B51" s="1" t="s">
        <v>92</v>
      </c>
      <c r="C51" s="1" t="s">
        <v>247</v>
      </c>
      <c r="D51" s="1" t="s">
        <v>202</v>
      </c>
      <c r="E51" s="1" t="s">
        <v>203</v>
      </c>
      <c r="F51" s="5">
        <f t="shared" si="0"/>
        <v>84370000</v>
      </c>
      <c r="G51" s="4">
        <v>0</v>
      </c>
      <c r="H51" s="5">
        <f t="shared" si="1"/>
        <v>0</v>
      </c>
      <c r="I51" s="1" t="s">
        <v>204</v>
      </c>
      <c r="J51" s="5">
        <f t="shared" si="1"/>
        <v>1180</v>
      </c>
      <c r="K51" s="2">
        <v>3.56E-2</v>
      </c>
      <c r="L51" s="1" t="s">
        <v>233</v>
      </c>
      <c r="M51" s="5">
        <f t="shared" ref="M51" si="98">SUBSTITUTE(SUBSTITUTE(L51,"K","e3"),"M","e6")*1</f>
        <v>3000000</v>
      </c>
      <c r="N51" s="1" t="s">
        <v>234</v>
      </c>
      <c r="O51" s="5">
        <f t="shared" ref="O51" si="99">SUBSTITUTE(SUBSTITUTE(N51,"K","e3"),"M","e6")*1</f>
        <v>24000</v>
      </c>
    </row>
  </sheetData>
  <mergeCells count="5">
    <mergeCell ref="I1:J1"/>
    <mergeCell ref="G1:H1"/>
    <mergeCell ref="E1:F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Recovered_Sheet1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 INDIRA</dc:creator>
  <cp:lastModifiedBy>Indira Wardini</cp:lastModifiedBy>
  <dcterms:created xsi:type="dcterms:W3CDTF">2026-02-02T22:52:37Z</dcterms:created>
  <dcterms:modified xsi:type="dcterms:W3CDTF">2026-02-02T23:39:22Z</dcterms:modified>
</cp:coreProperties>
</file>